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WORK\Sirius\MTP\"/>
    </mc:Choice>
  </mc:AlternateContent>
  <xr:revisionPtr revIDLastSave="0" documentId="13_ncr:1_{298F77E7-FAAE-4258-BD34-11BF841F918A}" xr6:coauthVersionLast="47" xr6:coauthVersionMax="47" xr10:uidLastSave="{00000000-0000-0000-0000-000000000000}"/>
  <bookViews>
    <workbookView xWindow="-96" yWindow="0" windowWidth="20832" windowHeight="16656" activeTab="1"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functionGroups builtInGroupCount="19"/>
  <definedNames>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9" i="27" l="1"/>
  <c r="M38" i="27"/>
  <c r="L38" i="27"/>
  <c r="K38" i="27"/>
  <c r="K40" i="27"/>
  <c r="K52" i="27"/>
  <c r="H52" i="27"/>
  <c r="H49" i="27"/>
  <c r="C8" i="8"/>
  <c r="D1" i="27" s="1"/>
  <c r="C7" i="8"/>
  <c r="B1" i="27"/>
  <c r="F55" i="27" l="1"/>
  <c r="H53" i="27"/>
  <c r="K47" i="27"/>
  <c r="K46" i="27"/>
  <c r="K44" i="27"/>
  <c r="K42" i="27"/>
  <c r="K41" i="27"/>
  <c r="K39"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9" i="27" l="1"/>
  <c r="L14" i="27"/>
  <c r="K53" i="27" l="1"/>
  <c r="K55"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9" i="27" s="1"/>
  <c r="M37" i="27" l="1"/>
  <c r="L40" i="27" l="1"/>
  <c r="L41" i="27" s="1"/>
  <c r="M41" i="27" s="1"/>
  <c r="M40" i="27" l="1"/>
  <c r="L42" i="27" l="1"/>
  <c r="M42" i="27" l="1"/>
  <c r="L44" i="27"/>
  <c r="M44" i="27" l="1"/>
  <c r="L46" i="27"/>
  <c r="M46" i="27" l="1"/>
  <c r="A9" i="23" s="1"/>
  <c r="L47" i="27"/>
  <c r="L49" i="27" s="1"/>
  <c r="L52" i="27" s="1"/>
  <c r="M52" i="27" l="1"/>
  <c r="L53" i="27"/>
  <c r="M49" i="27"/>
  <c r="M47" i="27"/>
  <c r="M53" i="27" l="1"/>
  <c r="L55" i="27"/>
  <c r="M55" i="27" s="1"/>
  <c r="A160" i="23" s="1"/>
  <c r="H157" i="23" l="1"/>
  <c r="B146" i="23"/>
  <c r="B147" i="23"/>
  <c r="B148" i="23"/>
  <c r="B149" i="23"/>
  <c r="B150" i="23"/>
  <c r="B151" i="23"/>
  <c r="B152" i="23"/>
  <c r="B153" i="23"/>
  <c r="B154" i="23"/>
  <c r="B155" i="23"/>
  <c r="B156" i="23"/>
  <c r="B157" i="23"/>
  <c r="B158"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A10" i="23" l="1"/>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F158" i="23" a="1"/>
  <c r="F157" i="23" a="1"/>
  <c r="F158" i="23" l="1"/>
  <c r="F157" i="23"/>
  <c r="B160"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<sst xmlns="http://schemas.openxmlformats.org/spreadsheetml/2006/main" count="1533" uniqueCount="749">
  <si>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</si>
  <si>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</si>
  <si>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</si>
  <si>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</si>
  <si>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</si>
  <si>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</si>
  <si>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</si>
  <si>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</si>
  <si>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</si>
  <si>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</si>
  <si>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</si>
  <si>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</si>
  <si>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</si>
  <si>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</si>
  <si>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</si>
  <si>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</si>
  <si>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</si>
  <si>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</si>
  <si>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</si>
  <si>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</si>
  <si>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</si>
  <si>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</si>
  <si>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</si>
  <si>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</si>
  <si>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</si>
  <si>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</si>
  <si>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</si>
  <si>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</si>
  <si>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</si>
  <si>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</si>
  <si>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</si>
  <si>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</si>
  <si>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</si>
  <si>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</si>
  <si>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</si>
  <si>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</si>
  <si>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</si>
  <si>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</si>
  <si>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</si>
  <si>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</si>
  <si>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</si>
  <si>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</si>
  <si>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</si>
  <si>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</si>
  <si>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</si>
  <si>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</si>
  <si>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</si>
  <si>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</si>
  <si>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</si>
  <si>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</si>
  <si>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</si>
  <si>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</si>
  <si>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</si>
  <si>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</si>
  <si>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</si>
  <si>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</si>
  <si>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</si>
  <si>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</si>
  <si>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</si>
  <si>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</si>
  <si>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</si>
  <si>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</si>
  <si>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</si>
  <si>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</si>
  <si>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</si>
  <si>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</si>
  <si>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</si>
  <si>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</si>
  <si>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</si>
  <si>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</si>
  <si>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</si>
  <si>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</si>
  <si>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</si>
  <si>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</si>
  <si>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</si>
  <si>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Control_Bits</t>
  </si>
  <si>
    <t>Constant</t>
  </si>
  <si>
    <t>bit7</t>
  </si>
  <si>
    <t>bit6</t>
  </si>
  <si>
    <t>bit5</t>
  </si>
  <si>
    <t>bit4</t>
  </si>
  <si>
    <t>bit3</t>
  </si>
  <si>
    <t>bit2</t>
  </si>
  <si>
    <t>bit1</t>
  </si>
  <si>
    <t>Bit0</t>
  </si>
  <si>
    <t>0x00</t>
  </si>
  <si>
    <t>Reserved</t>
  </si>
  <si>
    <t>Control Bits</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</si>
  <si>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</si>
  <si>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</si>
  <si>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</si>
  <si>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</si>
  <si>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</si>
  <si>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</si>
  <si>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</si>
  <si>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</si>
  <si>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</si>
  <si>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</si>
  <si>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</si>
  <si>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</si>
  <si>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</si>
  <si>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</si>
  <si>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</si>
  <si>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</si>
  <si>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</si>
  <si>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</si>
  <si>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</si>
  <si>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</si>
  <si>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</si>
  <si>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</si>
  <si>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</si>
  <si>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</si>
  <si>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</si>
  <si>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</si>
  <si>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</si>
  <si>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</si>
  <si>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</si>
  <si>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</si>
  <si>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</si>
  <si>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t>0xZZ</t>
  </si>
  <si>
    <t>0xYYXXWW</t>
  </si>
  <si>
    <t>0xZZYYXXWW</t>
  </si>
  <si>
    <t>Other Calibration</t>
  </si>
  <si>
    <t>0xZZYYXXWWVVUUTTSS</t>
  </si>
  <si>
    <t>Spare</t>
  </si>
  <si>
    <t>0xwxyz</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</si>
  <si>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</si>
  <si>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</si>
  <si>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</si>
  <si>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</si>
  <si>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</si>
  <si>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</si>
  <si>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</si>
  <si>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</si>
  <si>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</si>
  <si>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</si>
  <si>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</si>
  <si>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</si>
  <si>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</si>
  <si>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</si>
  <si>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</si>
  <si>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</si>
  <si>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</si>
  <si>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</si>
  <si>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</si>
  <si>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</si>
  <si>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</si>
  <si>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</si>
  <si>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</si>
  <si>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</si>
  <si>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</si>
  <si>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</si>
  <si>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</si>
  <si>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</si>
  <si>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</si>
  <si>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</si>
  <si>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</si>
  <si>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</si>
  <si>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</si>
  <si>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</si>
  <si>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</si>
  <si>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</si>
  <si>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</si>
  <si>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</si>
  <si>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</si>
  <si>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</si>
  <si>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</si>
  <si>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</si>
  <si>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</si>
  <si>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</si>
  <si>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</si>
  <si>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</si>
  <si>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</si>
  <si>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</si>
  <si>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</si>
  <si>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</si>
  <si>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</si>
  <si>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</si>
  <si>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</si>
  <si>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</si>
  <si>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</si>
  <si>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</si>
  <si>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</si>
  <si>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</si>
  <si>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</si>
  <si>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</si>
  <si>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</si>
  <si>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</si>
  <si>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</si>
  <si>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</si>
  <si>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</si>
  <si>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</si>
  <si>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</si>
  <si>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</si>
  <si>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</si>
  <si>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</si>
  <si>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</si>
  <si>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</si>
  <si>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</si>
  <si>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</si>
  <si>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</si>
  <si>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</si>
  <si>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</si>
  <si>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</si>
  <si>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</si>
  <si>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</si>
  <si>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</si>
  <si>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</si>
  <si>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</si>
  <si>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</si>
  <si>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</si>
  <si>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</si>
  <si>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</si>
  <si>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</si>
  <si>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</si>
  <si>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</si>
  <si>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</si>
  <si>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</si>
  <si>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</si>
  <si>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</si>
  <si>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</si>
  <si>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</si>
  <si>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</si>
  <si>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</si>
  <si>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</si>
  <si>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</si>
  <si>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</si>
  <si>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</si>
  <si>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</si>
  <si>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</si>
  <si>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</si>
  <si>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</si>
  <si>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</si>
  <si>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</si>
  <si>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</si>
  <si>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</si>
  <si>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</si>
  <si>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</si>
  <si>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</si>
  <si>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</si>
  <si>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</si>
  <si>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</si>
  <si>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</si>
  <si>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</si>
  <si>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</si>
  <si>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</si>
  <si>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</si>
  <si>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</si>
  <si>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</si>
  <si>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</si>
  <si>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</si>
  <si>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</si>
  <si>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</si>
  <si>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</si>
  <si>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</si>
  <si>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</si>
  <si>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</si>
  <si>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</si>
  <si>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</si>
  <si>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</si>
  <si>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</si>
  <si>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</si>
  <si>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</si>
  <si>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</si>
  <si>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</si>
  <si>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</si>
  <si>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</si>
  <si>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</si>
  <si>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</si>
  <si>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</si>
  <si>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</si>
  <si>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</si>
  <si>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</si>
  <si>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</si>
  <si>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</si>
  <si>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</si>
  <si>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</si>
  <si>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</si>
  <si>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</si>
  <si>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</si>
  <si>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</si>
  <si>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</si>
  <si>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</si>
  <si>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</si>
  <si>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</si>
  <si>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</si>
  <si>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</si>
  <si>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</si>
  <si>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</si>
  <si>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</si>
  <si>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</si>
  <si>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</si>
  <si>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</si>
  <si>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</si>
  <si>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</si>
  <si>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</si>
  <si>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</si>
  <si>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</si>
  <si>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</si>
  <si>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</si>
  <si>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</si>
  <si>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</si>
  <si>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</si>
  <si>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</si>
  <si>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</si>
  <si>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</si>
  <si>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</si>
  <si>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</si>
  <si>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</si>
  <si>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</si>
  <si>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</si>
  <si>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</si>
  <si>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</si>
  <si>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</si>
  <si>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</si>
  <si>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</si>
  <si>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</si>
  <si>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</si>
  <si>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</si>
  <si>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</si>
  <si>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</si>
  <si>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</si>
  <si>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</si>
  <si>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</si>
  <si>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</si>
  <si>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</si>
  <si>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</si>
  <si>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</si>
  <si>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</si>
  <si>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</si>
  <si>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</si>
  <si>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</si>
  <si>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</si>
  <si>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</si>
  <si>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</si>
  <si>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</si>
  <si>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</si>
  <si>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</si>
  <si>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</si>
  <si>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</si>
  <si>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</si>
  <si>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</si>
  <si>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</si>
  <si>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</si>
  <si>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</si>
  <si>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</si>
  <si>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</si>
  <si>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</si>
  <si>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</si>
  <si>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</si>
  <si>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</si>
  <si>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</si>
  <si>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</si>
  <si>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</si>
  <si>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</si>
  <si>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</si>
  <si>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</si>
  <si>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</si>
  <si>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</si>
  <si>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</si>
  <si>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</si>
  <si>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</si>
  <si>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</si>
  <si>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</si>
  <si>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MTP_SPARE_CONFIG0_B4b2</t>
  </si>
  <si>
    <t>Sirius I2C Slave Device Address b[7:1] value.LSB is Don’t Care.</t>
  </si>
  <si>
    <t>1. Deprecated MTP_CFG_EEP_PORT_SEL
2. Deprecated MTP_CFG0_PWMI_EN
3. Deprecated MTP_CFG0_PWMO_DIS
4 Updated MTP_I2C_SLAVE_ADDR description.
5.Updated description of  MTP_GPIO_POD_PUPD_FLIP_EN</t>
  </si>
  <si>
    <t>Deprecated MTP_CFG_EEP_PORT_SEL Port ixed to AUX_SDA/AUX_SCL</t>
  </si>
  <si>
    <t>Default  0xA8,A9 bus address (value is 0x54)  will be used if this is Zero.</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</si>
  <si>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</si>
  <si>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</si>
  <si>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</si>
  <si>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</si>
  <si>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</si>
  <si>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</si>
  <si>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LVTX_3P5mA_ITX_SET</t>
  </si>
  <si>
    <t>MTP_DPRX_1LANE</t>
    <phoneticPr fontId="4" type="noConversion"/>
  </si>
  <si>
    <t>MTP_DPRX_ML_SET1</t>
    <phoneticPr fontId="4" type="noConversion"/>
  </si>
  <si>
    <t>MTP_DPCD_eDP_701_CAP</t>
    <phoneticPr fontId="4" type="noConversion"/>
  </si>
  <si>
    <t>MTP_eDP_CAP_701</t>
    <phoneticPr fontId="4" type="noConversion"/>
  </si>
  <si>
    <t>MTP_INT_OSC_SEL</t>
    <phoneticPr fontId="4" type="noConversion"/>
  </si>
  <si>
    <t>MTP_CFG_EEP_ADDR</t>
    <phoneticPr fontId="4" type="noConversion"/>
  </si>
  <si>
    <t>2</t>
    <phoneticPr fontId="4" type="noConversion"/>
  </si>
  <si>
    <t>Program DP12RX_LINK_CONTROL[4]; should be 1 for EVB</t>
    <phoneticPr fontId="4" type="noConversion"/>
  </si>
  <si>
    <t>AUX2I2C speed control. Maps to DP12RX_AUX2I2C_CLK_SCALE register
00 - Set 0x09 for I2C speed close to 400KHz (default)
01 - Set 0x0B for I2C speed 330KHz
10 - Set 0x29 for I2C speed 100KHz
11 - Reserved</t>
    <phoneticPr fontId="4"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</si>
  <si>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</si>
  <si>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</si>
  <si>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</si>
  <si>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</si>
  <si>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</si>
  <si>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</si>
  <si>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</si>
  <si>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</si>
  <si>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</si>
  <si>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</si>
  <si>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</si>
  <si>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</si>
  <si>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r>
      <rPr>
        <b/>
        <sz val="10"/>
        <rFont val="Arial Narrow"/>
        <family val="2"/>
      </rPr>
      <t>00</t>
    </r>
    <r>
      <rPr>
        <sz val="10"/>
        <rFont val="Arial Narrow"/>
        <family val="2"/>
      </rPr>
      <t xml:space="preserve"> - Default UART_EN=1 is TX=LVCFG_SW, RX=PVCCEN
01 - ALT1_UART_EN=1 is TX=AUX_SCL,RX=AUX_SDA
10 - ALT2_UART_EN=1 is TX=SYS_SCL,RX=SYS_SDA
11 - UART_DISABLED</t>
    </r>
  </si>
  <si>
    <t>UART is enabled on an unprogrammed MTP
Tesla shall set MTP_UART_SEL=11 to disable UART for PVCCEN (GPIO3) control.</t>
  </si>
  <si>
    <r>
      <rPr>
        <b/>
        <sz val="10"/>
        <rFont val="Arial Narrow"/>
        <family val="2"/>
      </rPr>
      <t>0</t>
    </r>
    <r>
      <rPr>
        <sz val="10"/>
        <rFont val="Arial Narrow"/>
        <family val="2"/>
      </rPr>
      <t xml:space="preserve"> - Default Slave I2C Address 0xE0 (0x70) for Host Interface (Default)
'1 - Use MTP_I2C_SLAVE_ADDR</t>
    </r>
  </si>
  <si>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</si>
  <si>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</si>
  <si>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</si>
  <si>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</si>
  <si>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</si>
  <si>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</si>
  <si>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</si>
  <si>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</si>
  <si>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</si>
  <si>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</si>
  <si>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</si>
  <si>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</si>
  <si>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</si>
  <si>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</si>
  <si>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</si>
  <si>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</si>
  <si>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</si>
  <si>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</si>
  <si>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</si>
  <si>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</si>
  <si>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</si>
  <si>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r>
      <t xml:space="preserve">MTP DPRX CONFIGURATION
0 - MTP_DPCD_0000Dh_eDP_ASSR_CAP : ASSR 
1 - MTP_DPCD_00002h_EFRM_CAP : Enhanced Framing Capability
2 - MTP_DPRX_POST_LT_ADJ_REQ_SUP : 0 Not Supported ; 1 - Supported.
</t>
    </r>
    <r>
      <rPr>
        <sz val="10"/>
        <color rgb="FFFF0000"/>
        <rFont val="Arial Narrow"/>
        <family val="2"/>
      </rPr>
      <t>3 - MTP_VALID_VIDEO_CHECK: 0 - Disabled; 1 - Enabled</t>
    </r>
    <r>
      <rPr>
        <sz val="10"/>
        <rFont val="Arial Narrow"/>
        <family val="2"/>
      </rPr>
      <t xml:space="preserve">
5:4 - MTP_DPRX_LT_TYPE : 00 - Normal LT ; 01 - Accurate LT ; 10 - NOAUX_LT
6 - MTP_DPRX_LT_TPS3_NO_SUP : 0 - Supported ;  1 - Not Supported
7 - MTP_DPRX_LT_TPS4_NO_SUP : 0 - Supported ;  1 - Not Supported</t>
    </r>
  </si>
  <si>
    <r>
      <t xml:space="preserve">0 - If b0=1, Set DPCD 000Dh b0 to 1
1 - If b1=1, Set DPCD 0002h b7
2 - If b2=1, Set DPCD 0002h b5 POST_LT_ADJ_REQ_SUPPORTED
</t>
    </r>
    <r>
      <rPr>
        <sz val="10"/>
        <color rgb="FFFF0000"/>
        <rFont val="Arial Narrow"/>
        <family val="2"/>
      </rPr>
      <t>3 - If b3=1, Use fields from MTP_PANEL_CLOCK_MAX to MTP_DPRX_DBG_VID_VACT_WIDTH_MIN to check if incoming video is within expected range.  If not, enters black video freerun.</t>
    </r>
    <r>
      <rPr>
        <sz val="10"/>
        <rFont val="Arial Narrow"/>
        <family val="2"/>
      </rPr>
      <t xml:space="preserve">
4 - b4=0 for Normal LT ; b4=1 for Accurate LT
5 - If b5=1, Set DPCD 0003h b6 NO_AUX_TRANSACTION_LINK_TRAINING
6 - If b6=0, Set DPCD 0002h b6 TPS3_SUPPORTED
7 -  If b7=0, Set DPCD 0003h b7 TPS4_SUPPORTED</t>
    </r>
  </si>
  <si>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</si>
  <si>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</si>
  <si>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</si>
  <si>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</si>
  <si>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</si>
  <si>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</si>
  <si>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</si>
  <si>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</si>
  <si>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</si>
  <si>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</si>
  <si>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</si>
  <si>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</si>
  <si>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</si>
  <si>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</si>
  <si>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</si>
  <si>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</si>
  <si>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</si>
  <si>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</si>
  <si>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</si>
  <si>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</si>
  <si>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</si>
  <si>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</si>
  <si>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</si>
  <si>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</si>
  <si>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</si>
  <si>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</si>
  <si>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</si>
  <si>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</si>
  <si>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</si>
  <si>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</si>
  <si>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</si>
  <si>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</si>
  <si>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</si>
  <si>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</si>
  <si>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</si>
  <si>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</si>
  <si>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</si>
  <si>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</si>
  <si>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</si>
  <si>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</si>
  <si>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</si>
  <si>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</si>
  <si>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</si>
  <si>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</si>
  <si>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</si>
  <si>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</si>
  <si>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</si>
  <si>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</si>
  <si>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</si>
  <si>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</si>
  <si>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</si>
  <si>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</si>
  <si>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</si>
  <si>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</si>
  <si>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</si>
  <si>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</si>
  <si>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</si>
  <si>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</si>
  <si>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</si>
  <si>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</si>
  <si>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</si>
  <si>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</si>
  <si>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</si>
  <si>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</si>
  <si>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</si>
  <si>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</si>
  <si>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</si>
  <si>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</si>
  <si>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</si>
  <si>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</si>
  <si>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</si>
  <si>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</si>
  <si>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</si>
  <si>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</si>
  <si>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</si>
  <si>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</si>
  <si>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</si>
  <si>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</si>
  <si>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</si>
  <si>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</si>
  <si>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</si>
  <si>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</si>
  <si>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</si>
  <si>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</si>
  <si>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</si>
  <si>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</si>
  <si>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</si>
  <si>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</si>
  <si>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</si>
  <si>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</si>
  <si>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</si>
  <si>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</si>
  <si>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</si>
  <si>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</si>
  <si>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</si>
  <si>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</si>
  <si>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</si>
  <si>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</si>
  <si>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</si>
  <si>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</si>
  <si>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</si>
  <si>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</si>
  <si>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</si>
  <si>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</si>
  <si>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</si>
  <si>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</si>
  <si>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</si>
  <si>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</si>
  <si>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</si>
  <si>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</si>
  <si>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</si>
  <si>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</si>
  <si>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</si>
  <si>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</si>
  <si>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</si>
  <si>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</si>
  <si>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</si>
  <si>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</si>
  <si>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</si>
  <si>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</si>
  <si>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</si>
  <si>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</si>
  <si>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</si>
  <si>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</si>
  <si>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</si>
  <si>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</si>
  <si>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</si>
  <si>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</si>
  <si>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</si>
  <si>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</si>
  <si>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</si>
  <si>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</si>
  <si>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</si>
  <si>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</si>
  <si>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</si>
  <si>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</si>
  <si>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</si>
  <si>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</si>
  <si>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</si>
  <si>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</si>
  <si>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</si>
  <si>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</si>
  <si>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</si>
  <si>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</si>
  <si>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</si>
  <si>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</si>
  <si>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</si>
  <si>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</si>
  <si>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</si>
  <si>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</si>
  <si>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</si>
  <si>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</si>
  <si>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</si>
  <si>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</si>
  <si>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</si>
  <si>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</si>
  <si>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</si>
  <si>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</si>
  <si>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</si>
  <si>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</si>
  <si>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</si>
  <si>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</si>
  <si>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</si>
  <si>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</si>
  <si>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</si>
  <si>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</si>
  <si>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</si>
  <si>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4" type="noConversion"/>
  </si>
  <si>
    <t>AA</t>
    <phoneticPr fontId="4" type="noConversion"/>
  </si>
  <si>
    <t>00</t>
    <phoneticPr fontId="4" type="noConversion"/>
  </si>
  <si>
    <t>00</t>
    <phoneticPr fontId="4" type="noConversion"/>
  </si>
  <si>
    <t>02</t>
    <phoneticPr fontId="4" type="noConversion"/>
  </si>
  <si>
    <t>0B</t>
    <phoneticPr fontId="4" type="noConversion"/>
  </si>
  <si>
    <t>CD</t>
    <phoneticPr fontId="4" type="noConversion"/>
  </si>
  <si>
    <t>05</t>
    <phoneticPr fontId="4" type="noConversion"/>
  </si>
  <si>
    <t>98</t>
    <phoneticPr fontId="4" type="noConversion"/>
  </si>
  <si>
    <t>08</t>
    <phoneticPr fontId="4" type="noConversion"/>
  </si>
  <si>
    <t>94</t>
    <phoneticPr fontId="4" type="noConversion"/>
  </si>
  <si>
    <t>80</t>
    <phoneticPr fontId="4" type="noConversion"/>
  </si>
  <si>
    <t>07</t>
    <phoneticPr fontId="4" type="noConversion"/>
  </si>
  <si>
    <t>2C</t>
    <phoneticPr fontId="4" type="noConversion"/>
  </si>
  <si>
    <t>65</t>
    <phoneticPr fontId="4" type="noConversion"/>
  </si>
  <si>
    <t>04</t>
    <phoneticPr fontId="4" type="noConversion"/>
  </si>
  <si>
    <t>24</t>
    <phoneticPr fontId="4" type="noConversion"/>
  </si>
  <si>
    <t>38</t>
    <phoneticPr fontId="4" type="noConversion"/>
  </si>
  <si>
    <t>85</t>
    <phoneticPr fontId="4" type="noConversion"/>
  </si>
  <si>
    <t>B6</t>
    <phoneticPr fontId="4" type="noConversion"/>
  </si>
  <si>
    <t>FF</t>
    <phoneticPr fontId="4" type="noConversion"/>
  </si>
  <si>
    <t>0C</t>
    <phoneticPr fontId="4" type="noConversion"/>
  </si>
  <si>
    <t>6E</t>
    <phoneticPr fontId="4" type="noConversion"/>
  </si>
  <si>
    <t>A2</t>
    <phoneticPr fontId="4" type="noConversion"/>
  </si>
  <si>
    <t>D2</t>
    <phoneticPr fontId="4" type="noConversion"/>
  </si>
  <si>
    <t>C8</t>
    <phoneticPr fontId="4" type="noConversion"/>
  </si>
  <si>
    <t>8E</t>
    <phoneticPr fontId="4" type="noConversion"/>
  </si>
  <si>
    <t>6F</t>
    <phoneticPr fontId="4" type="noConversion"/>
  </si>
  <si>
    <t>5B</t>
    <phoneticPr fontId="4" type="noConversion"/>
  </si>
  <si>
    <t>42</t>
    <phoneticPr fontId="4" type="noConversion"/>
  </si>
  <si>
    <t>2E</t>
    <phoneticPr fontId="4" type="noConversion"/>
  </si>
  <si>
    <t>8A</t>
    <phoneticPr fontId="4" type="noConversion"/>
  </si>
  <si>
    <t>76</t>
    <phoneticPr fontId="4" type="noConversion"/>
  </si>
  <si>
    <t>D4</t>
    <phoneticPr fontId="4" type="noConversion"/>
  </si>
  <si>
    <t>9B</t>
    <phoneticPr fontId="4" type="noConversion"/>
  </si>
  <si>
    <t>74</t>
    <phoneticPr fontId="4" type="noConversion"/>
  </si>
  <si>
    <t>12</t>
    <phoneticPr fontId="4" type="noConversion"/>
  </si>
  <si>
    <t>01</t>
    <phoneticPr fontId="4" type="noConversion"/>
  </si>
  <si>
    <t>0D</t>
    <phoneticPr fontId="4" type="noConversion"/>
  </si>
  <si>
    <t>59</t>
    <phoneticPr fontId="4" type="noConversion"/>
  </si>
  <si>
    <t>C6</t>
    <phoneticPr fontId="4" type="noConversion"/>
  </si>
  <si>
    <t>60</t>
    <phoneticPr fontId="4" type="noConversion"/>
  </si>
  <si>
    <t>54</t>
    <phoneticPr fontId="4" type="noConversion"/>
  </si>
  <si>
    <t>82</t>
    <phoneticPr fontId="4" type="noConversion"/>
  </si>
  <si>
    <t>1C</t>
    <phoneticPr fontId="4" type="noConversion"/>
  </si>
  <si>
    <t>46</t>
    <phoneticPr fontId="4" type="noConversion"/>
  </si>
  <si>
    <t>41</t>
    <phoneticPr fontId="4" type="noConversion"/>
  </si>
  <si>
    <t>86</t>
    <phoneticPr fontId="4" type="noConversion"/>
  </si>
  <si>
    <t>5D</t>
    <phoneticPr fontId="4" type="noConversion"/>
  </si>
  <si>
    <t>56</t>
    <phoneticPr fontId="4" type="noConversion"/>
  </si>
  <si>
    <t>25</t>
    <phoneticPr fontId="4" type="noConversion"/>
  </si>
  <si>
    <t>C7</t>
    <phoneticPr fontId="4" type="noConversion"/>
  </si>
  <si>
    <t>70</t>
    <phoneticPr fontId="4" type="noConversion"/>
  </si>
  <si>
    <t>9E</t>
    <phoneticPr fontId="4" type="noConversion"/>
  </si>
  <si>
    <t>A6</t>
    <phoneticPr fontId="4" type="noConversion"/>
  </si>
  <si>
    <t>BD</t>
    <phoneticPr fontId="4" type="noConversion"/>
  </si>
  <si>
    <t>AA</t>
    <phoneticPr fontId="4" type="noConversion"/>
  </si>
  <si>
    <t>28</t>
    <phoneticPr fontId="4" type="noConversion"/>
  </si>
  <si>
    <t>CONFIG0_B132</t>
    <phoneticPr fontId="4" type="noConversion"/>
  </si>
  <si>
    <t>CONFIG0_B133</t>
    <phoneticPr fontId="4" type="noConversion"/>
  </si>
  <si>
    <t>MTP_LVDSTX_CTRL</t>
    <phoneticPr fontId="4" type="noConversion"/>
  </si>
  <si>
    <t>[20:16] - value will be written into A/B_POS_NEG_SWAP in LVDS_TX1_PN_SWAP[4:0]
[31:21] - Reserved</t>
    <phoneticPr fontId="4" type="noConversion"/>
  </si>
  <si>
    <t>06</t>
    <phoneticPr fontId="4" type="noConversion"/>
  </si>
  <si>
    <t>89</t>
    <phoneticPr fontId="4" type="noConversion"/>
  </si>
  <si>
    <t>C5</t>
    <phoneticPr fontId="4" type="noConversion"/>
  </si>
  <si>
    <t>81</t>
    <phoneticPr fontId="4" type="noConversion"/>
  </si>
  <si>
    <t>67</t>
    <phoneticPr fontId="4" type="noConversion"/>
  </si>
  <si>
    <t>Left over Configuration Space</t>
    <phoneticPr fontId="4" type="noConversion"/>
  </si>
  <si>
    <t>64</t>
    <phoneticPr fontId="4"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</si>
  <si>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</si>
  <si>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</si>
  <si>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</si>
  <si>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</si>
  <si>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</si>
  <si>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</si>
  <si>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</si>
  <si>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</si>
  <si>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</si>
  <si>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</si>
  <si>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</si>
  <si>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</si>
  <si>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</si>
  <si>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</si>
  <si>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</si>
  <si>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</si>
  <si>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</si>
  <si>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</si>
  <si>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</si>
  <si>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</si>
  <si>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</si>
  <si>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</si>
  <si>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</si>
  <si>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</si>
  <si>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</si>
  <si>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</si>
  <si>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</si>
  <si>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</si>
  <si>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</si>
  <si>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</si>
  <si>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</si>
  <si>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</si>
  <si>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</si>
  <si>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</si>
  <si>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</si>
  <si>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</si>
  <si>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</si>
  <si>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</si>
  <si>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</si>
  <si>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</si>
  <si>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</si>
  <si>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 xml:space="preserve">process type </t>
  </si>
  <si>
    <t>Two byte CRC over fields 1:5 (to be calculated in CP program)</t>
  </si>
  <si>
    <t>ACBIN Data</t>
  </si>
  <si>
    <t>Ring Oscillator Calibration</t>
    <phoneticPr fontId="32" type="noConversion"/>
  </si>
  <si>
    <t>CAL1_BUCK</t>
    <phoneticPr fontId="32" type="noConversion"/>
  </si>
  <si>
    <t>CAL_CRC</t>
  </si>
  <si>
    <t>Two byte CRC over fields 21:25 (to be calculated in FT program)</t>
  </si>
  <si>
    <t>CP Status bit</t>
  </si>
  <si>
    <t>OVST_done</t>
  </si>
  <si>
    <t>Start address for the configuration data; see MTP Map sheet</t>
  </si>
  <si>
    <t>2-byte CRC over configuration data fields</t>
  </si>
  <si>
    <t>MTP_SPI_XIP_EN</t>
  </si>
  <si>
    <t>Will also deprecate PWMI feature and require ENBKL feature to move to LVCFG_SW_GPIO2 pin.</t>
  </si>
  <si>
    <t xml:space="preserve">For Future use to check for SPI NOR Flash device. IROM update for this through CodePatch. </t>
  </si>
  <si>
    <t>MTP_SPARE_CONFIG0_B6b5_0</t>
  </si>
  <si>
    <t xml:space="preserve">Deprecated MTP_GPIO_POD_PUPD_FLIP_EN since Pull-up Pull-down Flip as internal Pull-up are not supported on GPIO cells. </t>
  </si>
  <si>
    <t>indie Semiconductors Confidential</t>
  </si>
  <si>
    <t>Sirius CUT1.1</t>
  </si>
  <si>
    <t>Jyothsna Nagaraja, Nobuhiro Minami, Pei-Hsin Yang, Ramesh Dandapani, Brett Shih</t>
  </si>
  <si>
    <t>spare</t>
  </si>
  <si>
    <t>copies of all previous fields at address x+512(d)</t>
  </si>
  <si>
    <t>Deprecated. TTL IO Internal Pull-up not supported.</t>
  </si>
  <si>
    <t>SECTION 1 - Tracking</t>
  </si>
  <si>
    <t>mirror for redundancy</t>
  </si>
  <si>
    <t>SECTION 5 Process Monitor data</t>
  </si>
  <si>
    <t>SECTION 3 - CALIBRATION</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</si>
  <si>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</si>
  <si>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</si>
  <si>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</si>
  <si>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</si>
  <si>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</si>
  <si>
    <t>program as one word</t>
  </si>
  <si>
    <t>See sheet ACBIN Data for details
Four bytes to write two 12bit ACBIN results
program at FT (no CRC required)
program as one word</t>
  </si>
  <si>
    <r>
      <rPr>
        <sz val="11"/>
        <rFont val="Calibri"/>
        <family val="2"/>
      </rPr>
      <t xml:space="preserve">"GHS" CRC over all key fields, including Serial#, </t>
    </r>
  </si>
  <si>
    <t>This is the dusr as to be fetched from the DDA ('key server')
CRCs are included in the dusr
program word by word as fetched from the DDA</t>
  </si>
  <si>
    <t>See sheet Tracking Data for details
Program at CP
program as three 4byte words</t>
  </si>
  <si>
    <t>program as one word @ room temp</t>
  </si>
  <si>
    <t>program all 32b as one word @ roomtemp</t>
  </si>
  <si>
    <t>not used</t>
  </si>
  <si>
    <t>101~130</t>
  </si>
  <si>
    <t>duplicate of fields 1~30</t>
  </si>
  <si>
    <t>change in Calibrarion data to clarify programming to be done in 32b words, and only at room temp
field numbering updated</t>
  </si>
  <si>
    <t>Buck Regulator Calibration
7D53[7:0]=0b000, TXZ[2:0], TTON[3:2]
7D52[7:0]=TTON[1:0], TNVLY[3:0], TPLIM[3:2]
7D51[7:0]=TPLIM[1:0], TIREF[3:0], TVREF[3:2]
7D50[7:0]=TVREF[1:0], TBGR[5:0]</t>
    <phoneticPr fontId="37" type="noConversion"/>
  </si>
  <si>
    <t>not used</t>
    <phoneticPr fontId="37" type="noConversion"/>
  </si>
  <si>
    <t>7 MSB bits are RC Oscillator Trim Data RCOSC_TRIM[6:0]</t>
    <phoneticPr fontId="37" type="noConversion"/>
  </si>
  <si>
    <t>LVDSTX_3P5mA_ITX setting for 3.5mA for 350mV VOH across 100ohm.
3 MSB bits are ICTL[2:0]</t>
    <phoneticPr fontId="37" type="noConversion"/>
  </si>
  <si>
    <t>Yuichi.S</t>
    <phoneticPr fontId="37" type="noConversion"/>
  </si>
  <si>
    <t>LVTX_3P5mA_ITX_SET</t>
    <phoneticPr fontId="37" type="noConversion"/>
  </si>
  <si>
    <t>Updated Mapping comment of Ring Oscillator Calibration
Updated Mapping comment of LVTX_3P5mA_ITX_SET
Updated Mapping comment of CAL1_BUCK</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</si>
</sst>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quot;KBytes&quot;"/>
    <numFmt numFmtId="166" formatCode="[$-409]d\-mmm\-yy;@"/>
  </numFmts>
  <fonts count="44">
    <font>
      <sz val="11"/>
      <color theme="1"/>
      <name val="Calibri"/>
      <family val="2"/>
      <scheme val="minor"/>
    </font>
    <font>
      <sz val="10"/>
      <name val="Arial"/>
      <family val="2"/>
    </font>
    <font>
      <sz val="10"/>
      <name val="Arial"/>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sz val="10"/>
      <color rgb="FFFF000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b/>
      <sz val="12"/>
      <color rgb="FF7030A0"/>
      <name val="Calibri"/>
      <family val="2"/>
      <scheme val="minor"/>
    </font>
    <font>
      <sz val="11"/>
      <name val="Calibri"/>
      <family val="2"/>
    </font>
  </fonts>
  <fills count="5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66"/>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45">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9" fillId="26" borderId="0" applyNumberFormat="0" applyBorder="0" applyAlignment="0" applyProtection="0"/>
    <xf numFmtId="0" fontId="10" fillId="27" borderId="48" applyNumberFormat="0" applyAlignment="0" applyProtection="0"/>
    <xf numFmtId="0" fontId="11" fillId="28" borderId="49" applyNumberFormat="0" applyAlignment="0" applyProtection="0"/>
    <xf numFmtId="0" fontId="12" fillId="0" borderId="0" applyNumberFormat="0" applyFill="0" applyBorder="0" applyAlignment="0" applyProtection="0"/>
    <xf numFmtId="0" fontId="13" fillId="29" borderId="0" applyNumberFormat="0" applyBorder="0" applyAlignment="0" applyProtection="0"/>
    <xf numFmtId="0" fontId="14" fillId="0" borderId="50" applyNumberFormat="0" applyFill="0" applyAlignment="0" applyProtection="0"/>
    <xf numFmtId="0" fontId="15" fillId="0" borderId="51" applyNumberFormat="0" applyFill="0" applyAlignment="0" applyProtection="0"/>
    <xf numFmtId="0" fontId="16" fillId="0" borderId="52" applyNumberFormat="0" applyFill="0" applyAlignment="0" applyProtection="0"/>
    <xf numFmtId="0" fontId="16" fillId="0" borderId="0" applyNumberFormat="0" applyFill="0" applyBorder="0" applyAlignment="0" applyProtection="0"/>
    <xf numFmtId="0" fontId="17" fillId="30" borderId="48" applyNumberFormat="0" applyAlignment="0" applyProtection="0"/>
    <xf numFmtId="0" fontId="18" fillId="0" borderId="53" applyNumberFormat="0" applyFill="0" applyAlignment="0" applyProtection="0"/>
    <xf numFmtId="0" fontId="19" fillId="31" borderId="0" applyNumberFormat="0" applyBorder="0" applyAlignment="0" applyProtection="0"/>
    <xf numFmtId="0" fontId="1" fillId="0" borderId="0"/>
    <xf numFmtId="0" fontId="2" fillId="0" borderId="0"/>
    <xf numFmtId="0" fontId="1" fillId="0" borderId="0"/>
    <xf numFmtId="0" fontId="7" fillId="32" borderId="54" applyNumberFormat="0" applyFont="0" applyAlignment="0" applyProtection="0"/>
    <xf numFmtId="0" fontId="20" fillId="27" borderId="55" applyNumberFormat="0" applyAlignment="0" applyProtection="0"/>
    <xf numFmtId="0" fontId="21" fillId="0" borderId="0" applyNumberFormat="0" applyFill="0" applyBorder="0" applyAlignment="0" applyProtection="0"/>
    <xf numFmtId="0" fontId="22" fillId="0" borderId="56" applyNumberFormat="0" applyFill="0" applyAlignment="0" applyProtection="0"/>
    <xf numFmtId="0" fontId="23" fillId="0" borderId="0" applyNumberFormat="0" applyFill="0" applyBorder="0" applyAlignment="0" applyProtection="0"/>
  </cellStyleXfs>
  <cellXfs count="377">
    <xf numFmtId="0" fontId="0" fillId="0" borderId="0" xfId="0"/>
    <xf numFmtId="0" fontId="24" fillId="0" borderId="0" xfId="37" applyFont="1" applyAlignment="1">
      <alignment horizontal="center"/>
    </xf>
    <xf numFmtId="0" fontId="24" fillId="0" borderId="0" xfId="37" applyFont="1"/>
    <xf numFmtId="0" fontId="24" fillId="0" borderId="0" xfId="37" applyFont="1" applyAlignment="1">
      <alignment horizontal="left"/>
    </xf>
    <xf numFmtId="0" fontId="25" fillId="33" borderId="0" xfId="37" applyFont="1" applyFill="1"/>
    <xf numFmtId="0" fontId="26" fillId="33" borderId="0" xfId="37" applyFont="1" applyFill="1" applyAlignment="1">
      <alignment horizontal="center"/>
    </xf>
    <xf numFmtId="0" fontId="26" fillId="33" borderId="0" xfId="37" applyFont="1" applyFill="1" applyAlignment="1">
      <alignment horizontal="left"/>
    </xf>
    <xf numFmtId="0" fontId="27" fillId="0" borderId="1" xfId="37" applyFont="1" applyBorder="1" applyAlignment="1">
      <alignment horizontal="center" vertical="center" wrapText="1"/>
    </xf>
    <xf numFmtId="0" fontId="27" fillId="0" borderId="1" xfId="37" applyFont="1" applyBorder="1" applyAlignment="1">
      <alignment vertical="center" wrapText="1"/>
    </xf>
    <xf numFmtId="15" fontId="28" fillId="0" borderId="1" xfId="37" applyNumberFormat="1" applyFont="1" applyBorder="1" applyAlignment="1">
      <alignment horizontal="center" vertical="center" wrapText="1"/>
    </xf>
    <xf numFmtId="0" fontId="26" fillId="0" borderId="0" xfId="37" applyFont="1" applyAlignment="1">
      <alignment horizontal="left"/>
    </xf>
    <xf numFmtId="0" fontId="26" fillId="0" borderId="0" xfId="37" applyFont="1"/>
    <xf numFmtId="0" fontId="29" fillId="0" borderId="0" xfId="37" applyFont="1" applyAlignment="1">
      <alignment horizontal="left"/>
    </xf>
    <xf numFmtId="15" fontId="29" fillId="0" borderId="0" xfId="37" applyNumberFormat="1" applyFont="1" applyAlignment="1">
      <alignment horizontal="left"/>
    </xf>
    <xf numFmtId="0" fontId="0" fillId="0" borderId="0" xfId="0" applyAlignment="1">
      <alignment horizontal="right"/>
    </xf>
    <xf numFmtId="0" fontId="24" fillId="0" borderId="1" xfId="37" applyFont="1" applyBorder="1" applyAlignment="1">
      <alignment horizontal="center" vertical="center"/>
    </xf>
    <xf numFmtId="0" fontId="0" fillId="0" borderId="1" xfId="0" applyBorder="1" applyAlignment="1">
      <alignment horizontal="center" vertical="center"/>
    </xf>
    <xf numFmtId="0" fontId="24"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4" fillId="0" borderId="5" xfId="37" applyFont="1" applyBorder="1" applyAlignment="1">
      <alignment horizontal="center"/>
    </xf>
    <xf numFmtId="0" fontId="24"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4" fillId="0" borderId="7" xfId="37" applyFont="1" applyBorder="1" applyAlignment="1">
      <alignment horizontal="center" vertical="center" wrapText="1"/>
    </xf>
    <xf numFmtId="0" fontId="22" fillId="0" borderId="1" xfId="0" applyFont="1" applyBorder="1"/>
    <xf numFmtId="0" fontId="22" fillId="0" borderId="8" xfId="0" applyFont="1" applyBorder="1"/>
    <xf numFmtId="0" fontId="22" fillId="0" borderId="9" xfId="0" applyFont="1" applyBorder="1"/>
    <xf numFmtId="0" fontId="22"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4" fillId="0" borderId="13" xfId="37" applyFont="1" applyBorder="1" applyAlignment="1">
      <alignment horizontal="center" vertical="center" wrapText="1"/>
    </xf>
    <xf numFmtId="0" fontId="0" fillId="0" borderId="14" xfId="0" applyBorder="1" applyAlignment="1">
      <alignment horizontal="center" vertical="center"/>
    </xf>
    <xf numFmtId="0" fontId="24" fillId="0" borderId="15" xfId="37" applyFont="1" applyBorder="1" applyAlignment="1">
      <alignment horizontal="center" vertical="center" wrapText="1"/>
    </xf>
    <xf numFmtId="0" fontId="0" fillId="0" borderId="6" xfId="0" applyBorder="1"/>
    <xf numFmtId="0" fontId="24" fillId="0" borderId="7" xfId="37" applyFont="1" applyBorder="1" applyAlignment="1">
      <alignment horizontal="center"/>
    </xf>
    <xf numFmtId="0" fontId="24"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2" fillId="0" borderId="23" xfId="0" applyFont="1" applyBorder="1" applyAlignment="1">
      <alignment vertical="center"/>
    </xf>
    <xf numFmtId="0" fontId="22" fillId="0" borderId="24" xfId="0" applyFont="1" applyBorder="1" applyAlignment="1">
      <alignment vertical="center"/>
    </xf>
    <xf numFmtId="0" fontId="22" fillId="0" borderId="25" xfId="0" applyFont="1" applyBorder="1" applyAlignment="1">
      <alignment vertical="center"/>
    </xf>
    <xf numFmtId="165" fontId="22" fillId="0" borderId="23" xfId="0" applyNumberFormat="1" applyFont="1" applyBorder="1" applyAlignment="1">
      <alignment vertical="center"/>
    </xf>
    <xf numFmtId="165" fontId="22" fillId="0" borderId="24" xfId="0" applyNumberFormat="1" applyFont="1" applyBorder="1" applyAlignment="1">
      <alignment vertical="center"/>
    </xf>
    <xf numFmtId="165" fontId="22"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4" fillId="0" borderId="8" xfId="37" applyFont="1" applyBorder="1" applyAlignment="1">
      <alignment horizontal="center"/>
    </xf>
    <xf numFmtId="0" fontId="24" fillId="0" borderId="9" xfId="37" applyFont="1" applyBorder="1" applyAlignment="1">
      <alignment horizontal="center"/>
    </xf>
    <xf numFmtId="0" fontId="24" fillId="0" borderId="3" xfId="37" applyFont="1" applyBorder="1" applyAlignment="1">
      <alignment horizontal="center"/>
    </xf>
    <xf numFmtId="0" fontId="24" fillId="0" borderId="1" xfId="37" applyFont="1" applyBorder="1"/>
    <xf numFmtId="0" fontId="24" fillId="0" borderId="29" xfId="37" applyFont="1" applyBorder="1" applyAlignment="1">
      <alignment horizontal="center"/>
    </xf>
    <xf numFmtId="0" fontId="24"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2" fillId="0" borderId="23" xfId="0" applyNumberFormat="1" applyFont="1" applyBorder="1" applyAlignment="1">
      <alignment horizontal="right" vertical="center"/>
    </xf>
    <xf numFmtId="0" fontId="24" fillId="0" borderId="1" xfId="37" applyFont="1" applyBorder="1" applyAlignment="1">
      <alignment horizontal="center" vertical="top"/>
    </xf>
    <xf numFmtId="15" fontId="28" fillId="0" borderId="1" xfId="37" applyNumberFormat="1" applyFont="1" applyBorder="1" applyAlignment="1">
      <alignment horizontal="center" vertical="top" wrapText="1"/>
    </xf>
    <xf numFmtId="0" fontId="24" fillId="0" borderId="1" xfId="37" applyFont="1" applyBorder="1" applyAlignment="1">
      <alignment horizontal="left" vertical="top" wrapText="1"/>
    </xf>
    <xf numFmtId="0" fontId="24" fillId="0" borderId="1" xfId="37" applyFont="1" applyBorder="1" applyAlignment="1">
      <alignment horizontal="left" vertical="top"/>
    </xf>
    <xf numFmtId="0" fontId="30" fillId="0" borderId="0" xfId="0" applyFont="1"/>
    <xf numFmtId="0" fontId="23" fillId="0" borderId="0" xfId="37" applyFont="1" applyAlignment="1">
      <alignment horizontal="left" vertical="top"/>
    </xf>
    <xf numFmtId="0" fontId="24" fillId="35" borderId="5" xfId="37" applyFont="1" applyFill="1" applyBorder="1" applyAlignment="1">
      <alignment horizontal="center"/>
    </xf>
    <xf numFmtId="14" fontId="24" fillId="0" borderId="1" xfId="37" applyNumberFormat="1" applyFont="1" applyBorder="1"/>
    <xf numFmtId="0" fontId="24" fillId="0" borderId="1" xfId="37" quotePrefix="1" applyFont="1" applyBorder="1" applyAlignment="1">
      <alignment horizontal="right"/>
    </xf>
    <xf numFmtId="0" fontId="24" fillId="0" borderId="1" xfId="37" applyFont="1" applyBorder="1" applyAlignment="1">
      <alignment wrapText="1"/>
    </xf>
    <xf numFmtId="0" fontId="22" fillId="0" borderId="0" xfId="0" applyFont="1"/>
    <xf numFmtId="14" fontId="22" fillId="0" borderId="0" xfId="0" applyNumberFormat="1" applyFont="1" applyAlignment="1">
      <alignment horizontal="right"/>
    </xf>
    <xf numFmtId="14" fontId="22" fillId="0" borderId="0" xfId="0" applyNumberFormat="1" applyFont="1"/>
    <xf numFmtId="16" fontId="24" fillId="0" borderId="1" xfId="37" applyNumberFormat="1" applyFont="1" applyBorder="1"/>
    <xf numFmtId="0" fontId="24" fillId="0" borderId="1" xfId="37" applyFont="1" applyBorder="1" applyAlignment="1">
      <alignment vertical="top" wrapText="1"/>
    </xf>
    <xf numFmtId="0" fontId="0" fillId="0" borderId="0" xfId="0" applyAlignment="1">
      <alignment horizontal="center"/>
    </xf>
    <xf numFmtId="0" fontId="22" fillId="0" borderId="23" xfId="0" applyFont="1" applyBorder="1" applyAlignment="1">
      <alignment horizontal="center" vertical="center"/>
    </xf>
    <xf numFmtId="0" fontId="22" fillId="0" borderId="25" xfId="0" applyFont="1" applyBorder="1" applyAlignment="1">
      <alignment horizontal="center" vertical="center"/>
    </xf>
    <xf numFmtId="0" fontId="31" fillId="0" borderId="0" xfId="0" applyFont="1"/>
    <xf numFmtId="0" fontId="24" fillId="39" borderId="2" xfId="37" applyFont="1" applyFill="1" applyBorder="1" applyAlignment="1">
      <alignment horizontal="center" vertical="center"/>
    </xf>
    <xf numFmtId="0" fontId="24" fillId="39" borderId="1" xfId="37" applyFont="1" applyFill="1" applyBorder="1" applyAlignment="1">
      <alignment horizontal="center" vertical="center"/>
    </xf>
    <xf numFmtId="0" fontId="24" fillId="39" borderId="1" xfId="0" applyFont="1" applyFill="1" applyBorder="1" applyAlignment="1">
      <alignment horizontal="center" vertical="center"/>
    </xf>
    <xf numFmtId="0" fontId="24" fillId="39" borderId="32" xfId="0" applyFont="1" applyFill="1" applyBorder="1" applyAlignment="1">
      <alignment horizontal="left" vertical="center"/>
    </xf>
    <xf numFmtId="0" fontId="24" fillId="39" borderId="33" xfId="0" applyFont="1" applyFill="1" applyBorder="1" applyAlignment="1">
      <alignment horizontal="left" vertical="center"/>
    </xf>
    <xf numFmtId="0" fontId="24" fillId="40" borderId="2" xfId="37" applyFont="1" applyFill="1" applyBorder="1" applyAlignment="1">
      <alignment horizontal="center" vertical="center"/>
    </xf>
    <xf numFmtId="0" fontId="24" fillId="40" borderId="30" xfId="37" applyFont="1" applyFill="1" applyBorder="1" applyAlignment="1">
      <alignment horizontal="center" vertical="center"/>
    </xf>
    <xf numFmtId="0" fontId="24" fillId="38" borderId="2" xfId="37" applyFont="1" applyFill="1" applyBorder="1" applyAlignment="1">
      <alignment horizontal="center" vertical="center"/>
    </xf>
    <xf numFmtId="0" fontId="24" fillId="38" borderId="1" xfId="37" applyFont="1" applyFill="1" applyBorder="1" applyAlignment="1">
      <alignment horizontal="center" vertical="center"/>
    </xf>
    <xf numFmtId="0" fontId="24" fillId="38" borderId="30" xfId="37" applyFont="1" applyFill="1" applyBorder="1" applyAlignment="1">
      <alignment horizontal="center" vertical="center"/>
    </xf>
    <xf numFmtId="0" fontId="24" fillId="38" borderId="32" xfId="37" applyFont="1" applyFill="1" applyBorder="1" applyAlignment="1">
      <alignment horizontal="left" vertical="center"/>
    </xf>
    <xf numFmtId="0" fontId="24" fillId="38" borderId="33" xfId="37" applyFont="1" applyFill="1" applyBorder="1" applyAlignment="1">
      <alignment horizontal="left" vertical="center"/>
    </xf>
    <xf numFmtId="0" fontId="24" fillId="38" borderId="34" xfId="37" applyFont="1" applyFill="1" applyBorder="1" applyAlignment="1">
      <alignment horizontal="left" vertical="center"/>
    </xf>
    <xf numFmtId="0" fontId="24" fillId="36" borderId="1" xfId="37" applyFont="1" applyFill="1" applyBorder="1" applyAlignment="1">
      <alignment horizontal="center" vertical="center"/>
    </xf>
    <xf numFmtId="0" fontId="24" fillId="36" borderId="33" xfId="37" applyFont="1" applyFill="1" applyBorder="1" applyAlignment="1">
      <alignment horizontal="left" vertical="center"/>
    </xf>
    <xf numFmtId="0" fontId="24" fillId="38" borderId="36" xfId="37" applyFont="1" applyFill="1" applyBorder="1" applyAlignment="1">
      <alignment horizontal="center" vertical="center"/>
    </xf>
    <xf numFmtId="0" fontId="26" fillId="42" borderId="37" xfId="39" applyFont="1" applyFill="1" applyBorder="1" applyAlignment="1">
      <alignment horizontal="center" vertical="center"/>
    </xf>
    <xf numFmtId="0" fontId="26" fillId="42" borderId="7" xfId="39" applyFont="1" applyFill="1" applyBorder="1" applyAlignment="1">
      <alignment horizontal="center" vertical="center"/>
    </xf>
    <xf numFmtId="0" fontId="26" fillId="0" borderId="27" xfId="39" applyFont="1" applyBorder="1" applyAlignment="1">
      <alignment horizontal="center" vertical="center"/>
    </xf>
    <xf numFmtId="0" fontId="3" fillId="38" borderId="1" xfId="37" applyFont="1" applyFill="1" applyBorder="1" applyAlignment="1">
      <alignment horizontal="center" vertical="center"/>
    </xf>
    <xf numFmtId="2" fontId="22" fillId="0" borderId="12" xfId="0" applyNumberFormat="1" applyFont="1" applyBorder="1" applyAlignment="1">
      <alignment horizontal="center" vertical="center"/>
    </xf>
    <xf numFmtId="164" fontId="22" fillId="0" borderId="12" xfId="0" applyNumberFormat="1" applyFont="1" applyBorder="1" applyAlignment="1">
      <alignment horizontal="center" vertical="center"/>
    </xf>
    <xf numFmtId="0" fontId="24" fillId="0" borderId="0" xfId="37" applyFont="1" applyAlignment="1">
      <alignment vertical="center" wrapText="1"/>
    </xf>
    <xf numFmtId="0" fontId="32" fillId="0" borderId="12" xfId="0" applyFont="1" applyBorder="1" applyAlignment="1">
      <alignment horizontal="center" vertical="center" wrapText="1"/>
    </xf>
    <xf numFmtId="49" fontId="0" fillId="0" borderId="0" xfId="0" applyNumberFormat="1"/>
    <xf numFmtId="0" fontId="5" fillId="0" borderId="12" xfId="0" applyFont="1" applyBorder="1" applyAlignment="1">
      <alignment horizontal="center" vertical="center" wrapText="1"/>
    </xf>
    <xf numFmtId="0" fontId="5" fillId="0" borderId="25" xfId="0" applyFont="1" applyBorder="1" applyAlignment="1">
      <alignment vertical="center" wrapText="1"/>
    </xf>
    <xf numFmtId="0" fontId="5" fillId="0" borderId="14" xfId="0" applyFont="1" applyBorder="1" applyAlignment="1">
      <alignment vertical="center" wrapText="1"/>
    </xf>
    <xf numFmtId="0" fontId="5" fillId="0" borderId="25" xfId="0" quotePrefix="1" applyFont="1" applyBorder="1" applyAlignment="1">
      <alignment horizontal="center" vertical="center" wrapText="1"/>
    </xf>
    <xf numFmtId="0" fontId="5" fillId="0" borderId="14" xfId="0" applyFont="1" applyBorder="1" applyAlignment="1">
      <alignment horizontal="center" vertical="center" wrapText="1"/>
    </xf>
    <xf numFmtId="0" fontId="5" fillId="0" borderId="20" xfId="0" quotePrefix="1" applyFont="1" applyBorder="1" applyAlignment="1">
      <alignment horizontal="center" vertical="center" wrapText="1"/>
    </xf>
    <xf numFmtId="0" fontId="5" fillId="0" borderId="25" xfId="0" applyFont="1" applyBorder="1" applyAlignment="1">
      <alignment horizontal="center" vertical="center" wrapText="1"/>
    </xf>
    <xf numFmtId="0" fontId="5" fillId="0" borderId="16" xfId="0" applyFont="1" applyBorder="1" applyAlignment="1">
      <alignment horizontal="center" vertical="center" wrapText="1"/>
    </xf>
    <xf numFmtId="0" fontId="24" fillId="40" borderId="32" xfId="37" applyFont="1" applyFill="1" applyBorder="1" applyAlignment="1">
      <alignment horizontal="left" vertical="center"/>
    </xf>
    <xf numFmtId="0" fontId="24" fillId="40" borderId="4" xfId="37" applyFont="1" applyFill="1" applyBorder="1" applyAlignment="1">
      <alignment horizontal="center" vertical="center"/>
    </xf>
    <xf numFmtId="49" fontId="5" fillId="0" borderId="40" xfId="0" quotePrefix="1" applyNumberFormat="1" applyFont="1" applyBorder="1" applyAlignment="1">
      <alignment horizontal="center" vertical="center" wrapText="1"/>
    </xf>
    <xf numFmtId="0" fontId="5" fillId="0" borderId="12" xfId="0" applyFont="1" applyBorder="1" applyAlignment="1">
      <alignment horizontal="left" vertical="center" wrapText="1"/>
    </xf>
    <xf numFmtId="0" fontId="23" fillId="0" borderId="0" xfId="0" applyFont="1"/>
    <xf numFmtId="0" fontId="5" fillId="0" borderId="14" xfId="0" applyFont="1" applyBorder="1" applyAlignment="1">
      <alignment horizontal="left" vertical="center" wrapText="1"/>
    </xf>
    <xf numFmtId="0" fontId="24" fillId="0" borderId="0" xfId="0" applyFont="1"/>
    <xf numFmtId="0" fontId="5" fillId="0" borderId="12" xfId="0" quotePrefix="1" applyFont="1" applyBorder="1" applyAlignment="1">
      <alignment horizontal="center" vertical="center" wrapText="1"/>
    </xf>
    <xf numFmtId="49" fontId="5" fillId="0" borderId="12" xfId="0" quotePrefix="1" applyNumberFormat="1" applyFont="1" applyBorder="1" applyAlignment="1">
      <alignment horizontal="center" vertical="center" wrapText="1"/>
    </xf>
    <xf numFmtId="49" fontId="5" fillId="0" borderId="14" xfId="0" quotePrefix="1" applyNumberFormat="1" applyFont="1" applyBorder="1" applyAlignment="1">
      <alignment horizontal="center" vertical="center" wrapText="1"/>
    </xf>
    <xf numFmtId="0" fontId="5" fillId="0" borderId="40" xfId="0" applyFont="1" applyBorder="1" applyAlignment="1">
      <alignment horizontal="center" vertical="center" wrapText="1"/>
    </xf>
    <xf numFmtId="0" fontId="5" fillId="0" borderId="0" xfId="0" applyFont="1" applyAlignment="1">
      <alignment horizontal="center" vertical="center" wrapText="1"/>
    </xf>
    <xf numFmtId="49" fontId="5" fillId="0" borderId="1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0" fontId="5" fillId="0" borderId="4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4" xfId="0" quotePrefix="1" applyFont="1" applyBorder="1" applyAlignment="1">
      <alignment horizontal="left" vertical="center" wrapText="1"/>
    </xf>
    <xf numFmtId="49" fontId="24" fillId="0" borderId="1" xfId="0" applyNumberFormat="1" applyFont="1" applyBorder="1"/>
    <xf numFmtId="0" fontId="24" fillId="0" borderId="0" xfId="0" applyFont="1" applyAlignment="1">
      <alignment horizontal="center" vertical="center"/>
    </xf>
    <xf numFmtId="0" fontId="5" fillId="33" borderId="14" xfId="0" applyFont="1" applyFill="1" applyBorder="1" applyAlignment="1">
      <alignment vertical="center" wrapText="1"/>
    </xf>
    <xf numFmtId="49" fontId="5" fillId="33" borderId="12" xfId="0" quotePrefix="1" applyNumberFormat="1" applyFont="1" applyFill="1" applyBorder="1" applyAlignment="1">
      <alignment horizontal="center" vertical="center" wrapText="1"/>
    </xf>
    <xf numFmtId="0" fontId="5" fillId="33" borderId="41" xfId="0" applyFont="1" applyFill="1" applyBorder="1" applyAlignment="1">
      <alignment horizontal="center" vertical="center" wrapText="1"/>
    </xf>
    <xf numFmtId="0" fontId="5" fillId="33" borderId="25" xfId="0" applyFont="1" applyFill="1" applyBorder="1" applyAlignment="1">
      <alignment vertical="center" wrapText="1"/>
    </xf>
    <xf numFmtId="0" fontId="5" fillId="33" borderId="25" xfId="0" applyFont="1" applyFill="1" applyBorder="1" applyAlignment="1">
      <alignment horizontal="center" vertical="center" wrapText="1"/>
    </xf>
    <xf numFmtId="0" fontId="5" fillId="33" borderId="16" xfId="0" applyFont="1" applyFill="1" applyBorder="1" applyAlignment="1">
      <alignment vertical="center" wrapText="1"/>
    </xf>
    <xf numFmtId="0" fontId="5" fillId="33" borderId="14" xfId="0" applyFont="1" applyFill="1" applyBorder="1" applyAlignment="1">
      <alignment horizontal="center" vertical="center" wrapText="1"/>
    </xf>
    <xf numFmtId="0" fontId="5" fillId="33" borderId="40" xfId="0" applyFont="1" applyFill="1" applyBorder="1" applyAlignment="1">
      <alignment horizontal="center" vertical="center" wrapText="1"/>
    </xf>
    <xf numFmtId="0" fontId="24" fillId="39" borderId="58" xfId="37" applyFont="1" applyFill="1" applyBorder="1" applyAlignment="1">
      <alignment horizontal="center" vertical="center"/>
    </xf>
    <xf numFmtId="0" fontId="24" fillId="39" borderId="0" xfId="37" applyFont="1" applyFill="1" applyAlignment="1">
      <alignment horizontal="center" vertical="center"/>
    </xf>
    <xf numFmtId="0" fontId="34" fillId="43" borderId="57" xfId="0" applyFont="1" applyFill="1" applyBorder="1" applyAlignment="1">
      <alignment horizontal="center" vertical="center" wrapText="1"/>
    </xf>
    <xf numFmtId="49" fontId="34" fillId="43" borderId="57" xfId="0" applyNumberFormat="1" applyFont="1" applyFill="1" applyBorder="1" applyAlignment="1">
      <alignment horizontal="center" vertical="center" wrapText="1"/>
    </xf>
    <xf numFmtId="0" fontId="34" fillId="43" borderId="57" xfId="0" applyFont="1" applyFill="1" applyBorder="1" applyAlignment="1">
      <alignment horizontal="left" vertical="center" wrapText="1" indent="1"/>
    </xf>
    <xf numFmtId="0" fontId="8" fillId="0" borderId="0" xfId="0" applyFont="1"/>
    <xf numFmtId="0" fontId="35" fillId="0" borderId="25" xfId="0" applyFont="1" applyBorder="1" applyAlignment="1">
      <alignment vertical="center" wrapText="1"/>
    </xf>
    <xf numFmtId="0" fontId="32" fillId="0" borderId="14" xfId="0" applyFont="1" applyBorder="1" applyAlignment="1">
      <alignment vertical="center" wrapText="1"/>
    </xf>
    <xf numFmtId="0" fontId="32" fillId="0" borderId="25" xfId="0" applyFont="1" applyBorder="1" applyAlignment="1">
      <alignment vertical="center" wrapText="1"/>
    </xf>
    <xf numFmtId="0" fontId="32" fillId="0" borderId="14" xfId="0" quotePrefix="1" applyFont="1" applyBorder="1" applyAlignment="1">
      <alignment horizontal="left" vertical="center" wrapText="1"/>
    </xf>
    <xf numFmtId="0" fontId="5" fillId="0" borderId="25" xfId="0" quotePrefix="1" applyFont="1" applyBorder="1" applyAlignment="1">
      <alignment vertical="center" wrapText="1"/>
    </xf>
    <xf numFmtId="0" fontId="35" fillId="0" borderId="14" xfId="0" applyFont="1" applyBorder="1" applyAlignment="1">
      <alignment vertical="center" wrapText="1"/>
    </xf>
    <xf numFmtId="49" fontId="27" fillId="0" borderId="1" xfId="37" applyNumberFormat="1" applyFont="1" applyBorder="1" applyAlignment="1">
      <alignment horizontal="center" vertical="center" wrapText="1"/>
    </xf>
    <xf numFmtId="49" fontId="27" fillId="0" borderId="1" xfId="37" quotePrefix="1" applyNumberFormat="1" applyFont="1" applyBorder="1" applyAlignment="1">
      <alignment horizontal="center" vertical="center" wrapText="1"/>
    </xf>
    <xf numFmtId="0" fontId="5" fillId="0" borderId="12" xfId="0" quotePrefix="1" applyFont="1" applyBorder="1" applyAlignment="1">
      <alignment horizontal="left" vertical="center" wrapText="1"/>
    </xf>
    <xf numFmtId="0" fontId="5" fillId="0" borderId="15" xfId="0" quotePrefix="1" applyFont="1" applyBorder="1" applyAlignment="1">
      <alignment horizontal="left" vertical="center" wrapText="1"/>
    </xf>
    <xf numFmtId="0" fontId="5" fillId="0" borderId="15" xfId="0" applyFont="1" applyBorder="1" applyAlignment="1">
      <alignment horizontal="left" vertical="center" wrapText="1"/>
    </xf>
    <xf numFmtId="0" fontId="35" fillId="0" borderId="40" xfId="0" quotePrefix="1" applyFont="1" applyBorder="1" applyAlignment="1">
      <alignment horizontal="center" vertical="center" wrapText="1"/>
    </xf>
    <xf numFmtId="0" fontId="5" fillId="0" borderId="15" xfId="0" applyFont="1" applyBorder="1" applyAlignment="1">
      <alignment horizontal="center" vertical="center" wrapText="1"/>
    </xf>
    <xf numFmtId="0" fontId="5" fillId="0" borderId="15" xfId="0" quotePrefix="1" applyFont="1" applyBorder="1" applyAlignment="1">
      <alignment horizontal="center" vertical="center" wrapText="1"/>
    </xf>
    <xf numFmtId="0" fontId="35" fillId="0" borderId="25" xfId="0" applyFont="1" applyBorder="1" applyAlignment="1">
      <alignment horizontal="center" vertical="center" wrapText="1"/>
    </xf>
    <xf numFmtId="0" fontId="5" fillId="0" borderId="25" xfId="0" applyFont="1" applyBorder="1" applyAlignment="1">
      <alignment horizontal="left" vertical="center" wrapText="1"/>
    </xf>
    <xf numFmtId="0" fontId="5" fillId="0" borderId="15" xfId="0" applyFont="1" applyBorder="1" applyAlignment="1">
      <alignment horizontal="center" vertical="center"/>
    </xf>
    <xf numFmtId="0" fontId="5" fillId="0" borderId="40" xfId="0" applyFont="1" applyBorder="1" applyAlignment="1">
      <alignment horizontal="center" vertical="center"/>
    </xf>
    <xf numFmtId="0" fontId="5" fillId="0" borderId="12" xfId="0" applyFont="1" applyBorder="1" applyAlignment="1">
      <alignment horizontal="center" vertical="center"/>
    </xf>
    <xf numFmtId="0" fontId="5" fillId="0" borderId="22" xfId="0" applyFont="1" applyBorder="1" applyAlignment="1">
      <alignment horizontal="center" vertical="center"/>
    </xf>
    <xf numFmtId="49" fontId="5" fillId="33" borderId="40" xfId="0" applyNumberFormat="1" applyFont="1" applyFill="1" applyBorder="1" applyAlignment="1">
      <alignment horizontal="center" vertical="center"/>
    </xf>
    <xf numFmtId="0" fontId="5" fillId="33" borderId="1" xfId="0" applyFont="1" applyFill="1" applyBorder="1" applyAlignment="1">
      <alignment horizontal="center" vertical="center"/>
    </xf>
    <xf numFmtId="0" fontId="5" fillId="33" borderId="1" xfId="0" applyFont="1" applyFill="1" applyBorder="1" applyAlignment="1">
      <alignment horizontal="center"/>
    </xf>
    <xf numFmtId="0" fontId="24" fillId="0" borderId="0" xfId="0" applyFont="1" applyAlignment="1">
      <alignment horizontal="center"/>
    </xf>
    <xf numFmtId="0" fontId="34" fillId="43" borderId="59" xfId="0" applyFont="1" applyFill="1" applyBorder="1" applyAlignment="1">
      <alignment horizontal="center" vertical="center" wrapText="1"/>
    </xf>
    <xf numFmtId="0" fontId="22" fillId="0" borderId="0" xfId="0" applyFont="1" applyAlignment="1">
      <alignment horizontal="center"/>
    </xf>
    <xf numFmtId="49" fontId="38" fillId="0" borderId="0" xfId="0" applyNumberFormat="1" applyFont="1"/>
    <xf numFmtId="0" fontId="39" fillId="0" borderId="0" xfId="0" applyFont="1" applyAlignment="1">
      <alignment horizontal="left" vertical="center"/>
    </xf>
    <xf numFmtId="0" fontId="38" fillId="0" borderId="0" xfId="0" applyFont="1" applyAlignment="1">
      <alignment horizontal="left" vertical="center"/>
    </xf>
    <xf numFmtId="0" fontId="40" fillId="0" borderId="0" xfId="0" applyFont="1"/>
    <xf numFmtId="0" fontId="0" fillId="0" borderId="0" xfId="0" applyAlignment="1">
      <alignment vertical="center"/>
    </xf>
    <xf numFmtId="49" fontId="5" fillId="0" borderId="42" xfId="0" applyNumberFormat="1" applyFont="1" applyBorder="1" applyAlignment="1">
      <alignment horizontal="center" vertical="center" wrapText="1"/>
    </xf>
    <xf numFmtId="49" fontId="5" fillId="0" borderId="16" xfId="0" applyNumberFormat="1" applyFont="1" applyBorder="1" applyAlignment="1">
      <alignment horizontal="center" vertical="center" wrapText="1"/>
    </xf>
    <xf numFmtId="49" fontId="32" fillId="0" borderId="12" xfId="0" applyNumberFormat="1" applyFont="1" applyBorder="1" applyAlignment="1">
      <alignment horizontal="center" vertical="center"/>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4" fillId="0" borderId="26" xfId="37" applyFont="1" applyBorder="1" applyAlignment="1">
      <alignment horizontal="center" vertical="center"/>
    </xf>
    <xf numFmtId="0" fontId="26" fillId="42" borderId="15" xfId="39" applyFont="1" applyFill="1" applyBorder="1" applyAlignment="1">
      <alignment horizontal="center" vertical="center"/>
    </xf>
    <xf numFmtId="0" fontId="7" fillId="39" borderId="0" xfId="0" applyFont="1" applyFill="1"/>
    <xf numFmtId="0" fontId="24" fillId="44" borderId="1" xfId="37" applyFont="1" applyFill="1" applyBorder="1" applyAlignment="1">
      <alignment horizontal="center" vertical="center"/>
    </xf>
    <xf numFmtId="0" fontId="7" fillId="44" borderId="0" xfId="0" applyFont="1" applyFill="1"/>
    <xf numFmtId="0" fontId="24" fillId="39" borderId="4" xfId="37" applyFont="1" applyFill="1" applyBorder="1" applyAlignment="1">
      <alignment horizontal="center" vertical="center"/>
    </xf>
    <xf numFmtId="0" fontId="24" fillId="39" borderId="35" xfId="0" applyFont="1" applyFill="1" applyBorder="1" applyAlignment="1">
      <alignment horizontal="left" vertical="center"/>
    </xf>
    <xf numFmtId="0" fontId="24" fillId="40" borderId="8" xfId="37" applyFont="1" applyFill="1" applyBorder="1" applyAlignment="1">
      <alignment horizontal="center" vertical="center"/>
    </xf>
    <xf numFmtId="0" fontId="24" fillId="40" borderId="9" xfId="37" applyFont="1" applyFill="1" applyBorder="1" applyAlignment="1">
      <alignment horizontal="center" vertical="center"/>
    </xf>
    <xf numFmtId="0" fontId="24" fillId="40" borderId="1" xfId="37" applyFont="1" applyFill="1" applyBorder="1" applyAlignment="1">
      <alignment horizontal="center" vertical="center"/>
    </xf>
    <xf numFmtId="0" fontId="24" fillId="40" borderId="33" xfId="37" applyFont="1" applyFill="1" applyBorder="1" applyAlignment="1">
      <alignment horizontal="left" vertical="center"/>
    </xf>
    <xf numFmtId="0" fontId="24" fillId="40" borderId="29" xfId="37" applyFont="1" applyFill="1" applyBorder="1" applyAlignment="1">
      <alignment horizontal="center" vertical="center"/>
    </xf>
    <xf numFmtId="0" fontId="24" fillId="40" borderId="34" xfId="37" applyFont="1" applyFill="1" applyBorder="1" applyAlignment="1">
      <alignment horizontal="left" vertical="center"/>
    </xf>
    <xf numFmtId="0" fontId="24" fillId="38" borderId="8" xfId="37" applyFont="1" applyFill="1" applyBorder="1" applyAlignment="1">
      <alignment horizontal="center" vertical="center"/>
    </xf>
    <xf numFmtId="0" fontId="24" fillId="38" borderId="9" xfId="37" applyFont="1" applyFill="1" applyBorder="1" applyAlignment="1">
      <alignment horizontal="center" vertical="center"/>
    </xf>
    <xf numFmtId="0" fontId="24" fillId="38" borderId="29" xfId="37" applyFont="1" applyFill="1" applyBorder="1" applyAlignment="1">
      <alignment horizontal="center" vertical="center"/>
    </xf>
    <xf numFmtId="0" fontId="24" fillId="38" borderId="60" xfId="37" applyFont="1" applyFill="1" applyBorder="1" applyAlignment="1">
      <alignment horizontal="center" vertical="center"/>
    </xf>
    <xf numFmtId="0" fontId="24" fillId="38" borderId="61" xfId="37" applyFont="1" applyFill="1" applyBorder="1" applyAlignment="1">
      <alignment horizontal="left" vertical="center"/>
    </xf>
    <xf numFmtId="0" fontId="24" fillId="36" borderId="8" xfId="37" applyFont="1" applyFill="1" applyBorder="1" applyAlignment="1">
      <alignment horizontal="center" vertical="center"/>
    </xf>
    <xf numFmtId="0" fontId="24" fillId="36" borderId="2" xfId="37" applyFont="1" applyFill="1" applyBorder="1" applyAlignment="1">
      <alignment horizontal="center" vertical="center"/>
    </xf>
    <xf numFmtId="0" fontId="24" fillId="36" borderId="32" xfId="37" applyFont="1" applyFill="1" applyBorder="1" applyAlignment="1">
      <alignment horizontal="left" vertical="center"/>
    </xf>
    <xf numFmtId="0" fontId="24" fillId="36" borderId="9" xfId="37" applyFont="1" applyFill="1" applyBorder="1" applyAlignment="1">
      <alignment horizontal="center" vertical="center"/>
    </xf>
    <xf numFmtId="0" fontId="24" fillId="46" borderId="3" xfId="37" applyFont="1" applyFill="1" applyBorder="1" applyAlignment="1">
      <alignment horizontal="center" vertical="center"/>
    </xf>
    <xf numFmtId="0" fontId="0" fillId="46" borderId="5" xfId="0" applyFill="1" applyBorder="1" applyAlignment="1">
      <alignment horizontal="center" vertical="center"/>
    </xf>
    <xf numFmtId="0" fontId="24"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4" fillId="41" borderId="8" xfId="37" applyFont="1" applyFill="1" applyBorder="1" applyAlignment="1">
      <alignment horizontal="center" vertical="center"/>
    </xf>
    <xf numFmtId="0" fontId="24" fillId="41" borderId="2" xfId="37" applyFont="1" applyFill="1" applyBorder="1" applyAlignment="1">
      <alignment horizontal="center" vertical="center"/>
    </xf>
    <xf numFmtId="0" fontId="24" fillId="41" borderId="2" xfId="0" applyFont="1" applyFill="1" applyBorder="1" applyAlignment="1">
      <alignment horizontal="center" vertical="center"/>
    </xf>
    <xf numFmtId="0" fontId="24" fillId="41" borderId="32" xfId="0" applyFont="1" applyFill="1" applyBorder="1" applyAlignment="1">
      <alignment horizontal="center" vertical="center"/>
    </xf>
    <xf numFmtId="0" fontId="24" fillId="41" borderId="32" xfId="37" applyFont="1" applyFill="1" applyBorder="1" applyAlignment="1">
      <alignment horizontal="left" vertical="center"/>
    </xf>
    <xf numFmtId="0" fontId="24" fillId="41" borderId="29" xfId="37" applyFont="1" applyFill="1" applyBorder="1" applyAlignment="1">
      <alignment horizontal="center" vertical="center"/>
    </xf>
    <xf numFmtId="0" fontId="24" fillId="41" borderId="30" xfId="37" applyFont="1" applyFill="1" applyBorder="1" applyAlignment="1">
      <alignment horizontal="center" vertical="center"/>
    </xf>
    <xf numFmtId="0" fontId="24" fillId="41" borderId="30" xfId="0" applyFont="1" applyFill="1" applyBorder="1" applyAlignment="1">
      <alignment horizontal="center" vertical="center"/>
    </xf>
    <xf numFmtId="0" fontId="24" fillId="41" borderId="34" xfId="0" applyFont="1" applyFill="1" applyBorder="1" applyAlignment="1">
      <alignment horizontal="center" vertical="center"/>
    </xf>
    <xf numFmtId="0" fontId="24" fillId="41" borderId="34" xfId="37" applyFont="1" applyFill="1" applyBorder="1" applyAlignment="1">
      <alignment horizontal="left" vertical="center"/>
    </xf>
    <xf numFmtId="0" fontId="0" fillId="35" borderId="3" xfId="0" applyFill="1" applyBorder="1"/>
    <xf numFmtId="1" fontId="24" fillId="35" borderId="5" xfId="37" applyNumberFormat="1" applyFont="1" applyFill="1" applyBorder="1" applyAlignment="1">
      <alignment horizontal="center" vertical="center"/>
    </xf>
    <xf numFmtId="0" fontId="24" fillId="35" borderId="5" xfId="37" applyFont="1" applyFill="1" applyBorder="1" applyAlignment="1">
      <alignment horizontal="center" vertical="center"/>
    </xf>
    <xf numFmtId="0" fontId="24" fillId="35" borderId="5" xfId="0" applyFont="1" applyFill="1" applyBorder="1" applyAlignment="1">
      <alignment horizontal="center" vertical="center"/>
    </xf>
    <xf numFmtId="0" fontId="24" fillId="35" borderId="31" xfId="0" applyFont="1" applyFill="1" applyBorder="1" applyAlignment="1">
      <alignment horizontal="center" vertical="center"/>
    </xf>
    <xf numFmtId="0" fontId="24" fillId="35" borderId="31" xfId="37" applyFont="1" applyFill="1" applyBorder="1" applyAlignment="1">
      <alignment horizontal="center" wrapText="1"/>
    </xf>
    <xf numFmtId="15" fontId="27"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47" borderId="3" xfId="0" applyFill="1" applyBorder="1" applyAlignment="1">
      <alignment horizontal="center" vertical="center"/>
    </xf>
    <xf numFmtId="0" fontId="24" fillId="47" borderId="5" xfId="37" applyFont="1" applyFill="1" applyBorder="1" applyAlignment="1">
      <alignment horizontal="center"/>
    </xf>
    <xf numFmtId="1" fontId="24" fillId="47" borderId="5" xfId="37" applyNumberFormat="1" applyFont="1" applyFill="1" applyBorder="1" applyAlignment="1">
      <alignment horizontal="center" vertical="center"/>
    </xf>
    <xf numFmtId="0" fontId="24" fillId="47" borderId="5" xfId="37" applyFont="1" applyFill="1" applyBorder="1" applyAlignment="1">
      <alignment horizontal="center" vertical="center"/>
    </xf>
    <xf numFmtId="0" fontId="24" fillId="47" borderId="5" xfId="0" applyFont="1" applyFill="1" applyBorder="1" applyAlignment="1">
      <alignment horizontal="center" vertical="center"/>
    </xf>
    <xf numFmtId="0" fontId="24" fillId="47" borderId="31" xfId="0" applyFont="1" applyFill="1" applyBorder="1" applyAlignment="1">
      <alignment horizontal="center" vertical="center"/>
    </xf>
    <xf numFmtId="0" fontId="24" fillId="47" borderId="31" xfId="37" applyFont="1" applyFill="1" applyBorder="1" applyAlignment="1">
      <alignment horizontal="center" wrapText="1"/>
    </xf>
    <xf numFmtId="0" fontId="42" fillId="0" borderId="25" xfId="0" applyFont="1" applyBorder="1" applyAlignment="1">
      <alignment horizontal="center" vertical="center" wrapText="1"/>
    </xf>
    <xf numFmtId="0" fontId="42" fillId="0" borderId="14" xfId="0" quotePrefix="1" applyFont="1" applyBorder="1" applyAlignment="1">
      <alignment horizontal="left" vertical="center" wrapText="1"/>
    </xf>
    <xf numFmtId="0" fontId="42" fillId="0" borderId="25" xfId="0" applyFont="1" applyBorder="1" applyAlignment="1">
      <alignment vertical="center" wrapText="1"/>
    </xf>
    <xf numFmtId="0" fontId="24" fillId="39" borderId="8" xfId="37" applyFont="1" applyFill="1" applyBorder="1" applyAlignment="1">
      <alignment horizontal="center" vertical="center"/>
    </xf>
    <xf numFmtId="0" fontId="24" fillId="39" borderId="9" xfId="37" applyFont="1" applyFill="1" applyBorder="1" applyAlignment="1">
      <alignment horizontal="center" vertical="center"/>
    </xf>
    <xf numFmtId="0" fontId="24" fillId="39" borderId="9" xfId="0" applyFont="1" applyFill="1" applyBorder="1" applyAlignment="1">
      <alignment horizontal="center" vertical="center"/>
    </xf>
    <xf numFmtId="0" fontId="24" fillId="39" borderId="63" xfId="37" applyFont="1" applyFill="1" applyBorder="1" applyAlignment="1">
      <alignment horizontal="center" vertical="center"/>
    </xf>
    <xf numFmtId="0" fontId="0" fillId="34" borderId="23" xfId="0" applyFill="1" applyBorder="1" applyAlignment="1">
      <alignment horizontal="center" vertical="center"/>
    </xf>
    <xf numFmtId="0" fontId="8" fillId="48" borderId="6" xfId="0" applyFont="1" applyFill="1" applyBorder="1" applyAlignment="1">
      <alignment horizontal="center" vertical="center"/>
    </xf>
    <xf numFmtId="0" fontId="8" fillId="48" borderId="7" xfId="37" applyFont="1" applyFill="1" applyBorder="1" applyAlignment="1">
      <alignment horizontal="center" vertical="center" wrapText="1"/>
    </xf>
    <xf numFmtId="0" fontId="8" fillId="48" borderId="13" xfId="37" applyFont="1" applyFill="1" applyBorder="1" applyAlignment="1">
      <alignment horizontal="center" vertical="center" wrapText="1"/>
    </xf>
    <xf numFmtId="0" fontId="8" fillId="48" borderId="3" xfId="37" applyFont="1" applyFill="1" applyBorder="1" applyAlignment="1">
      <alignment horizontal="center" vertical="center" wrapText="1"/>
    </xf>
    <xf numFmtId="0" fontId="8" fillId="48" borderId="5" xfId="37" applyFont="1" applyFill="1" applyBorder="1" applyAlignment="1">
      <alignment horizontal="center" vertical="center" wrapText="1"/>
    </xf>
    <xf numFmtId="0" fontId="8" fillId="48" borderId="31" xfId="37" applyFont="1" applyFill="1" applyBorder="1" applyAlignment="1">
      <alignment horizontal="center" vertical="center" wrapText="1"/>
    </xf>
    <xf numFmtId="0" fontId="8" fillId="48" borderId="62" xfId="37" applyFont="1" applyFill="1" applyBorder="1" applyAlignment="1">
      <alignment horizontal="center" vertical="center" wrapText="1"/>
    </xf>
    <xf numFmtId="0" fontId="8" fillId="48" borderId="37" xfId="37" applyFont="1" applyFill="1" applyBorder="1" applyAlignment="1">
      <alignment horizontal="center" vertical="center" wrapText="1"/>
    </xf>
    <xf numFmtId="0" fontId="24" fillId="0" borderId="24" xfId="37" applyFont="1" applyBorder="1" applyAlignment="1">
      <alignment horizontal="center"/>
    </xf>
    <xf numFmtId="1" fontId="24" fillId="0" borderId="24" xfId="37" applyNumberFormat="1" applyFont="1" applyBorder="1" applyAlignment="1">
      <alignment horizontal="center" vertical="center"/>
    </xf>
    <xf numFmtId="0" fontId="24" fillId="0" borderId="24" xfId="37" applyFont="1" applyBorder="1" applyAlignment="1">
      <alignment horizontal="center" vertical="center"/>
    </xf>
    <xf numFmtId="0" fontId="24" fillId="0" borderId="24" xfId="0" applyFont="1" applyBorder="1" applyAlignment="1">
      <alignment horizontal="center" vertical="center"/>
    </xf>
    <xf numFmtId="0" fontId="24" fillId="0" borderId="25" xfId="37" applyFont="1" applyBorder="1" applyAlignment="1">
      <alignment horizontal="center" wrapText="1"/>
    </xf>
    <xf numFmtId="0" fontId="8" fillId="45" borderId="3" xfId="0" applyFont="1" applyFill="1" applyBorder="1"/>
    <xf numFmtId="0" fontId="8" fillId="45" borderId="5" xfId="37" applyFont="1" applyFill="1" applyBorder="1" applyAlignment="1">
      <alignment horizontal="center"/>
    </xf>
    <xf numFmtId="0" fontId="8" fillId="45" borderId="5" xfId="37" applyFont="1" applyFill="1" applyBorder="1" applyAlignment="1">
      <alignment horizontal="center" vertical="center"/>
    </xf>
    <xf numFmtId="0" fontId="8" fillId="45" borderId="5" xfId="0" applyFont="1" applyFill="1" applyBorder="1" applyAlignment="1">
      <alignment horizontal="center" vertical="center"/>
    </xf>
    <xf numFmtId="0" fontId="11" fillId="45" borderId="31" xfId="0" applyFont="1" applyFill="1" applyBorder="1" applyAlignment="1">
      <alignment horizontal="center" vertical="center"/>
    </xf>
    <xf numFmtId="0" fontId="8" fillId="45" borderId="31" xfId="37" applyFont="1" applyFill="1" applyBorder="1" applyAlignment="1">
      <alignment horizontal="center" vertical="center"/>
    </xf>
    <xf numFmtId="0" fontId="24" fillId="49" borderId="9" xfId="37" applyFont="1" applyFill="1" applyBorder="1" applyAlignment="1">
      <alignment horizontal="center" vertical="center"/>
    </xf>
    <xf numFmtId="0" fontId="24" fillId="49" borderId="1" xfId="37" applyFont="1" applyFill="1" applyBorder="1" applyAlignment="1">
      <alignment horizontal="center" vertical="center"/>
    </xf>
    <xf numFmtId="0" fontId="24" fillId="49" borderId="33" xfId="37" applyFont="1" applyFill="1" applyBorder="1" applyAlignment="1">
      <alignment horizontal="left" vertical="center"/>
    </xf>
    <xf numFmtId="0" fontId="0" fillId="49" borderId="64" xfId="0" applyFill="1" applyBorder="1" applyAlignment="1">
      <alignment horizontal="center"/>
    </xf>
    <xf numFmtId="0" fontId="0" fillId="36" borderId="65" xfId="0" applyFill="1" applyBorder="1" applyAlignment="1">
      <alignment horizontal="center" vertical="center"/>
    </xf>
    <xf numFmtId="0" fontId="24" fillId="49" borderId="29" xfId="37" applyFont="1" applyFill="1" applyBorder="1" applyAlignment="1">
      <alignment horizontal="center" vertical="center"/>
    </xf>
    <xf numFmtId="0" fontId="24" fillId="49" borderId="30" xfId="37" applyFont="1" applyFill="1" applyBorder="1" applyAlignment="1">
      <alignment horizontal="center" vertical="center"/>
    </xf>
    <xf numFmtId="0" fontId="24" fillId="49" borderId="34" xfId="37" applyFont="1" applyFill="1" applyBorder="1" applyAlignment="1">
      <alignment horizontal="left" vertical="center"/>
    </xf>
    <xf numFmtId="14" fontId="24" fillId="0" borderId="1" xfId="37" applyNumberFormat="1" applyFont="1" applyBorder="1" applyAlignment="1">
      <alignment horizontal="center" vertical="center"/>
    </xf>
    <xf numFmtId="0" fontId="24" fillId="0" borderId="1" xfId="37" applyFont="1" applyBorder="1" applyAlignment="1">
      <alignment horizontal="left" vertical="center" wrapText="1"/>
    </xf>
    <xf numFmtId="0" fontId="24" fillId="49" borderId="33" xfId="37" applyFont="1" applyFill="1" applyBorder="1" applyAlignment="1">
      <alignment horizontal="left" vertical="center" wrapText="1"/>
    </xf>
    <xf numFmtId="0" fontId="24" fillId="36" borderId="33" xfId="37" applyFont="1" applyFill="1" applyBorder="1" applyAlignment="1">
      <alignment horizontal="left" vertical="center" wrapText="1"/>
    </xf>
    <xf numFmtId="166" fontId="24" fillId="0" borderId="1" xfId="37" applyNumberFormat="1" applyFont="1" applyBorder="1" applyAlignment="1">
      <alignment horizontal="center" vertical="center"/>
    </xf>
    <xf numFmtId="0" fontId="26" fillId="0" borderId="0" xfId="37" applyFont="1" applyAlignment="1">
      <alignment horizontal="left"/>
    </xf>
    <xf numFmtId="0" fontId="33" fillId="37" borderId="0" xfId="37" applyFont="1" applyFill="1" applyAlignment="1">
      <alignment horizontal="center"/>
    </xf>
    <xf numFmtId="0" fontId="29" fillId="0" borderId="0" xfId="37" applyFont="1" applyAlignment="1">
      <alignment horizontal="left"/>
    </xf>
    <xf numFmtId="0" fontId="26" fillId="0" borderId="0" xfId="37" applyFont="1"/>
    <xf numFmtId="0" fontId="22" fillId="0" borderId="23" xfId="0" applyFont="1" applyBorder="1" applyAlignment="1">
      <alignment horizontal="left" vertical="center"/>
    </xf>
    <xf numFmtId="0" fontId="22" fillId="0" borderId="24" xfId="0" applyFont="1" applyBorder="1" applyAlignment="1">
      <alignment horizontal="left" vertical="center"/>
    </xf>
    <xf numFmtId="0" fontId="22" fillId="0" borderId="25" xfId="0" applyFont="1" applyBorder="1" applyAlignment="1">
      <alignment horizontal="left" vertical="center"/>
    </xf>
    <xf numFmtId="165" fontId="22" fillId="0" borderId="23" xfId="0" applyNumberFormat="1" applyFont="1" applyBorder="1" applyAlignment="1">
      <alignment horizontal="left" vertical="center"/>
    </xf>
    <xf numFmtId="165" fontId="22" fillId="0" borderId="24" xfId="0" applyNumberFormat="1" applyFont="1" applyBorder="1" applyAlignment="1">
      <alignment horizontal="left" vertical="center"/>
    </xf>
    <xf numFmtId="165" fontId="22"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6" fillId="48" borderId="23" xfId="37" applyFont="1" applyFill="1" applyBorder="1" applyAlignment="1">
      <alignment horizontal="center" vertical="center"/>
    </xf>
    <xf numFmtId="0" fontId="26" fillId="48" borderId="24" xfId="37" applyFont="1" applyFill="1" applyBorder="1" applyAlignment="1">
      <alignment horizontal="center" vertical="center"/>
    </xf>
    <xf numFmtId="0" fontId="26" fillId="48" borderId="25" xfId="37" applyFont="1" applyFill="1" applyBorder="1" applyAlignment="1">
      <alignment horizontal="center" vertical="center"/>
    </xf>
    <xf numFmtId="0" fontId="24" fillId="34" borderId="23" xfId="37" applyFont="1" applyFill="1" applyBorder="1" applyAlignment="1">
      <alignment horizontal="center" vertical="center"/>
    </xf>
    <xf numFmtId="0" fontId="24" fillId="34" borderId="24" xfId="37" applyFont="1" applyFill="1" applyBorder="1" applyAlignment="1">
      <alignment horizontal="center" vertical="center"/>
    </xf>
    <xf numFmtId="0" fontId="24" fillId="34" borderId="25" xfId="37" applyFont="1" applyFill="1" applyBorder="1" applyAlignment="1">
      <alignment horizontal="center" vertical="center"/>
    </xf>
    <xf numFmtId="0" fontId="0" fillId="39" borderId="0" xfId="0" applyFill="1" applyAlignment="1">
      <alignment horizontal="center" vertical="center" wrapText="1"/>
    </xf>
    <xf numFmtId="0" fontId="0" fillId="39" borderId="0" xfId="0" applyFill="1" applyAlignment="1">
      <alignment horizontal="center" vertical="center"/>
    </xf>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4" fillId="40" borderId="0" xfId="0" applyFont="1" applyFill="1" applyAlignment="1">
      <alignment horizontal="center" vertical="center" wrapText="1"/>
    </xf>
    <xf numFmtId="0" fontId="24" fillId="40" borderId="0" xfId="0" applyFont="1" applyFill="1" applyAlignment="1">
      <alignment horizontal="center" vertical="center"/>
    </xf>
    <xf numFmtId="0" fontId="0" fillId="34" borderId="19" xfId="0" applyFill="1" applyBorder="1" applyAlignment="1">
      <alignment horizontal="center"/>
    </xf>
    <xf numFmtId="0" fontId="0" fillId="34" borderId="0" xfId="0" applyFill="1" applyAlignment="1">
      <alignment horizontal="center"/>
    </xf>
    <xf numFmtId="0" fontId="0" fillId="34" borderId="20" xfId="0" applyFill="1" applyBorder="1" applyAlignment="1">
      <alignment horizontal="center"/>
    </xf>
    <xf numFmtId="0" fontId="30" fillId="38" borderId="0" xfId="0" applyFont="1" applyFill="1" applyAlignment="1">
      <alignment horizontal="center" vertical="center" wrapText="1"/>
    </xf>
    <xf numFmtId="0" fontId="24" fillId="34" borderId="21" xfId="37" applyFont="1" applyFill="1" applyBorder="1" applyAlignment="1">
      <alignment horizontal="center" vertical="center"/>
    </xf>
    <xf numFmtId="0" fontId="24" fillId="34" borderId="22" xfId="37" applyFont="1" applyFill="1" applyBorder="1" applyAlignment="1">
      <alignment horizontal="center" vertical="center"/>
    </xf>
    <xf numFmtId="0" fontId="24" fillId="34" borderId="14" xfId="37" applyFont="1" applyFill="1" applyBorder="1" applyAlignment="1">
      <alignment horizontal="center" vertical="center"/>
    </xf>
    <xf numFmtId="0" fontId="0" fillId="49" borderId="64" xfId="0" applyFill="1" applyBorder="1" applyAlignment="1">
      <alignment horizontal="center" vertical="center"/>
    </xf>
    <xf numFmtId="0" fontId="0" fillId="36" borderId="65" xfId="0" applyFill="1" applyBorder="1" applyAlignment="1">
      <alignment horizontal="center" vertical="center"/>
    </xf>
    <xf numFmtId="0" fontId="0" fillId="36" borderId="19" xfId="0" applyFill="1" applyBorder="1" applyAlignment="1">
      <alignment horizontal="center" vertical="center"/>
    </xf>
    <xf numFmtId="0" fontId="0" fillId="36" borderId="66" xfId="0" applyFill="1" applyBorder="1" applyAlignment="1">
      <alignment horizontal="center" vertical="center"/>
    </xf>
    <xf numFmtId="0" fontId="5" fillId="0" borderId="46" xfId="0" applyFont="1" applyBorder="1" applyAlignment="1">
      <alignment horizontal="center"/>
    </xf>
    <xf numFmtId="0" fontId="27" fillId="0" borderId="44" xfId="0" applyFont="1" applyBorder="1" applyAlignment="1">
      <alignment horizontal="center"/>
    </xf>
    <xf numFmtId="0" fontId="5" fillId="0" borderId="12" xfId="0" applyFont="1" applyBorder="1" applyAlignment="1">
      <alignment horizontal="center" vertical="center"/>
    </xf>
    <xf numFmtId="0" fontId="5" fillId="0" borderId="39" xfId="0" applyFont="1" applyBorder="1" applyAlignment="1">
      <alignment horizontal="center" vertical="center"/>
    </xf>
    <xf numFmtId="0" fontId="5" fillId="0" borderId="38" xfId="0" applyFont="1" applyBorder="1" applyAlignment="1">
      <alignment horizontal="center" vertical="center"/>
    </xf>
    <xf numFmtId="0" fontId="5" fillId="0" borderId="47" xfId="0" applyFont="1" applyBorder="1" applyAlignment="1">
      <alignment horizontal="center" vertical="center"/>
    </xf>
    <xf numFmtId="0" fontId="5" fillId="0" borderId="45" xfId="0" applyFont="1" applyBorder="1" applyAlignment="1">
      <alignment horizontal="center" vertical="center"/>
    </xf>
    <xf numFmtId="0" fontId="5" fillId="0" borderId="15" xfId="0" applyFont="1" applyBorder="1" applyAlignment="1">
      <alignment horizontal="center" vertical="center"/>
    </xf>
    <xf numFmtId="0" fontId="5" fillId="0" borderId="42" xfId="0" applyFont="1" applyBorder="1" applyAlignment="1">
      <alignment horizontal="center" vertical="center"/>
    </xf>
    <xf numFmtId="0" fontId="35" fillId="0" borderId="15" xfId="0" applyFont="1" applyBorder="1" applyAlignment="1">
      <alignment horizontal="center" vertical="center" wrapText="1"/>
    </xf>
    <xf numFmtId="0" fontId="35" fillId="0" borderId="40" xfId="0" applyFont="1" applyBorder="1" applyAlignment="1">
      <alignment horizontal="center" vertical="center" wrapText="1"/>
    </xf>
    <xf numFmtId="0" fontId="5" fillId="0" borderId="40" xfId="0" applyFont="1" applyBorder="1" applyAlignment="1">
      <alignment horizontal="center" vertical="center"/>
    </xf>
    <xf numFmtId="0" fontId="5" fillId="0" borderId="42"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9" xfId="0" applyFont="1" applyBorder="1" applyAlignment="1">
      <alignment horizontal="center" vertical="center" wrapText="1"/>
    </xf>
    <xf numFmtId="0" fontId="5" fillId="33" borderId="42" xfId="0" applyFont="1" applyFill="1" applyBorder="1" applyAlignment="1">
      <alignment horizontal="center" vertical="center" wrapText="1"/>
    </xf>
    <xf numFmtId="0" fontId="5" fillId="0" borderId="17"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15" xfId="0" quotePrefix="1" applyFont="1" applyBorder="1" applyAlignment="1">
      <alignment horizontal="center" vertical="center" wrapText="1"/>
    </xf>
    <xf numFmtId="0" fontId="5" fillId="0" borderId="40" xfId="0" quotePrefix="1" applyFont="1" applyBorder="1" applyAlignment="1">
      <alignment horizontal="center" vertical="center" wrapText="1"/>
    </xf>
    <xf numFmtId="0" fontId="5" fillId="0" borderId="42" xfId="0" quotePrefix="1" applyFont="1" applyBorder="1" applyAlignment="1">
      <alignment horizontal="center" vertical="center" wrapText="1"/>
    </xf>
    <xf numFmtId="0" fontId="5" fillId="0" borderId="15" xfId="0" applyFont="1" applyBorder="1" applyAlignment="1">
      <alignment horizontal="left" vertical="center" wrapText="1"/>
    </xf>
    <xf numFmtId="0" fontId="5" fillId="0" borderId="40" xfId="0" applyFont="1" applyBorder="1" applyAlignment="1">
      <alignment horizontal="left" vertical="center" wrapText="1"/>
    </xf>
    <xf numFmtId="0" fontId="5" fillId="0" borderId="43" xfId="0" applyFont="1" applyBorder="1" applyAlignment="1">
      <alignment horizontal="center" vertical="center" wrapText="1"/>
    </xf>
    <xf numFmtId="0" fontId="5" fillId="0" borderId="44" xfId="0" applyFont="1" applyBorder="1" applyAlignment="1">
      <alignment horizontal="center" vertical="center" wrapText="1"/>
    </xf>
    <xf numFmtId="0" fontId="35" fillId="0" borderId="15" xfId="0" quotePrefix="1" applyFont="1" applyBorder="1" applyAlignment="1">
      <alignment horizontal="center" vertical="center" wrapText="1"/>
    </xf>
    <xf numFmtId="0" fontId="35" fillId="0" borderId="40" xfId="0" quotePrefix="1" applyFont="1" applyBorder="1" applyAlignment="1">
      <alignment horizontal="center" vertical="center" wrapText="1"/>
    </xf>
    <xf numFmtId="0" fontId="35" fillId="0" borderId="15" xfId="0" applyFont="1" applyBorder="1" applyAlignment="1">
      <alignment horizontal="left" vertical="center" wrapText="1"/>
    </xf>
    <xf numFmtId="0" fontId="35" fillId="0" borderId="40" xfId="0" applyFont="1" applyBorder="1" applyAlignment="1">
      <alignment horizontal="left" vertical="center" wrapText="1"/>
    </xf>
    <xf numFmtId="0" fontId="5" fillId="0" borderId="42" xfId="0" applyFont="1" applyBorder="1" applyAlignment="1">
      <alignment horizontal="left" vertical="center" wrapText="1"/>
    </xf>
    <xf numFmtId="49" fontId="5" fillId="0" borderId="15" xfId="0" applyNumberFormat="1" applyFont="1" applyBorder="1" applyAlignment="1">
      <alignment horizontal="center" vertical="center" wrapText="1"/>
    </xf>
    <xf numFmtId="49" fontId="5" fillId="0" borderId="4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49" fontId="5" fillId="0" borderId="15" xfId="0" quotePrefix="1" applyNumberFormat="1"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49" fontId="5" fillId="0" borderId="42" xfId="0" quotePrefix="1" applyNumberFormat="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0" fillId="0" borderId="19" xfId="0" applyFont="1" applyBorder="1" applyAlignment="1">
      <alignment horizontal="left" vertical="center"/>
    </xf>
    <xf numFmtId="0" fontId="30"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5</xdr:row>
          <xdr:rowOff>0</xdr:rowOff>
        </xdr:from>
        <xdr:to>
          <xdr:col>6</xdr:col>
          <xdr:colOff>7620</xdr:colOff>
          <xdr:row>6</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opLeftCell="A29" zoomScale="90" zoomScaleNormal="90" workbookViewId="0">
      <selection activeCell="B34" sqref="B34"/>
    </sheetView>
  </sheetViews>
  <sheetFormatPr defaultColWidth="9.109375" defaultRowHeight="14.4"/>
  <cols>
    <col min="1" max="1" width="16.77734375" style="1" customWidth="1"/>
    <col min="2" max="2" width="12.44140625" style="1" customWidth="1"/>
    <col min="3" max="3" width="15.77734375" style="2" customWidth="1"/>
    <col min="4" max="4" width="12.77734375" style="2" customWidth="1"/>
    <col min="5" max="5" width="15.21875" style="2" customWidth="1"/>
    <col min="6" max="6" width="19.77734375" style="2" customWidth="1"/>
    <col min="7" max="7" width="112.88671875" style="2" customWidth="1"/>
    <col min="8" max="8" width="6.88671875" style="2" customWidth="1"/>
    <col min="9" max="9" width="20.21875" style="2" customWidth="1"/>
    <col min="10" max="10" width="19.44140625" style="2" customWidth="1"/>
    <col min="11" max="11" width="21" style="2" customWidth="1"/>
    <col min="12" max="12" width="17.44140625" style="2" customWidth="1"/>
    <col min="13" max="13" width="20.109375" style="2" customWidth="1"/>
    <col min="14" max="14" width="8.109375" style="2" customWidth="1"/>
    <col min="15" max="15" width="6.44140625" style="2" customWidth="1"/>
    <col min="16" max="16" width="14.44140625" style="2" customWidth="1"/>
    <col min="17" max="171" width="4.77734375" style="2" customWidth="1"/>
    <col min="172" max="16384" width="9.109375" style="2"/>
  </cols>
  <sheetData>
    <row r="1" spans="1:7" ht="20.100000000000001" customHeight="1">
      <c r="A1" s="288" t="s">
        <v>716</v>
      </c>
      <c r="B1" s="288"/>
      <c r="C1" s="288"/>
      <c r="D1" s="288"/>
      <c r="E1" s="288"/>
      <c r="F1" s="288"/>
      <c r="G1" s="288"/>
    </row>
    <row r="5" spans="1:7" ht="18">
      <c r="A5" s="289" t="s">
        <v>0</v>
      </c>
      <c r="B5" s="289"/>
      <c r="C5" s="12" t="s">
        <v>1</v>
      </c>
      <c r="F5" s="1"/>
      <c r="G5" s="3"/>
    </row>
    <row r="6" spans="1:7" ht="18">
      <c r="A6" s="289" t="s">
        <v>2</v>
      </c>
      <c r="B6" s="289"/>
      <c r="C6" s="12" t="s">
        <v>717</v>
      </c>
      <c r="D6" s="11"/>
      <c r="E6" s="4"/>
      <c r="F6" s="5"/>
      <c r="G6" s="6"/>
    </row>
    <row r="7" spans="1:7" ht="18">
      <c r="A7" s="12" t="s">
        <v>3</v>
      </c>
      <c r="B7" s="12"/>
      <c r="C7" s="12">
        <f>C34</f>
        <v>0.23</v>
      </c>
      <c r="D7" s="11"/>
      <c r="E7" s="4"/>
      <c r="F7" s="5"/>
      <c r="G7" s="6"/>
    </row>
    <row r="8" spans="1:7" ht="18">
      <c r="A8" s="12" t="s">
        <v>4</v>
      </c>
      <c r="B8" s="12"/>
      <c r="C8" s="13">
        <f>D34</f>
        <v>45631</v>
      </c>
      <c r="D8" s="11"/>
      <c r="E8" s="4"/>
      <c r="F8" s="5"/>
      <c r="G8" s="6"/>
    </row>
    <row r="9" spans="1:7">
      <c r="A9" s="290" t="s">
        <v>5</v>
      </c>
      <c r="B9" s="290"/>
      <c r="C9" s="3" t="s">
        <v>6</v>
      </c>
      <c r="F9" s="5"/>
      <c r="G9" s="6"/>
    </row>
    <row r="10" spans="1:7">
      <c r="A10" s="11" t="s">
        <v>7</v>
      </c>
      <c r="B10" s="2"/>
      <c r="C10" s="3" t="s">
        <v>718</v>
      </c>
      <c r="F10" s="5"/>
      <c r="G10" s="6"/>
    </row>
    <row r="11" spans="1:7">
      <c r="A11" s="287" t="s">
        <v>8</v>
      </c>
      <c r="B11" s="287"/>
      <c r="C11" s="7" t="s">
        <v>9</v>
      </c>
      <c r="D11" s="7" t="s">
        <v>10</v>
      </c>
      <c r="E11" s="7" t="s">
        <v>11</v>
      </c>
      <c r="F11" s="7" t="s">
        <v>12</v>
      </c>
      <c r="G11" s="8" t="s">
        <v>13</v>
      </c>
    </row>
    <row r="12" spans="1:7">
      <c r="A12" s="10"/>
      <c r="B12" s="10"/>
      <c r="C12" s="161">
        <v>0.1</v>
      </c>
      <c r="D12" s="9" t="s">
        <v>14</v>
      </c>
      <c r="E12" s="7" t="s">
        <v>15</v>
      </c>
      <c r="F12" s="7"/>
      <c r="G12" s="8" t="s">
        <v>16</v>
      </c>
    </row>
    <row r="13" spans="1:7">
      <c r="A13" s="10"/>
      <c r="B13" s="10"/>
      <c r="C13" s="161">
        <v>0.2</v>
      </c>
      <c r="D13" s="9" t="s">
        <v>17</v>
      </c>
      <c r="E13" s="7" t="s">
        <v>15</v>
      </c>
      <c r="F13" s="7"/>
      <c r="G13" s="8" t="s">
        <v>16</v>
      </c>
    </row>
    <row r="14" spans="1:7" ht="55.2">
      <c r="A14" s="10"/>
      <c r="B14" s="10"/>
      <c r="C14" s="161">
        <v>0.3</v>
      </c>
      <c r="D14" s="9">
        <v>45262</v>
      </c>
      <c r="E14" s="7" t="s">
        <v>15</v>
      </c>
      <c r="F14" s="7"/>
      <c r="G14" s="8" t="s">
        <v>18</v>
      </c>
    </row>
    <row r="15" spans="1:7">
      <c r="A15" s="10"/>
      <c r="B15" s="10"/>
      <c r="C15" s="161">
        <v>0.4</v>
      </c>
      <c r="D15" s="9">
        <v>45264</v>
      </c>
      <c r="E15" s="7" t="s">
        <v>15</v>
      </c>
      <c r="F15" s="7"/>
      <c r="G15" s="8"/>
    </row>
    <row r="16" spans="1:7">
      <c r="A16" s="10"/>
      <c r="B16" s="10"/>
      <c r="C16" s="161">
        <v>0.5</v>
      </c>
      <c r="D16" s="9">
        <v>45343</v>
      </c>
      <c r="E16" s="7" t="s">
        <v>15</v>
      </c>
      <c r="F16" s="7"/>
      <c r="G16" s="8" t="s">
        <v>19</v>
      </c>
    </row>
    <row r="17" spans="1:7" ht="41.4">
      <c r="A17" s="10"/>
      <c r="B17" s="10"/>
      <c r="C17" s="161">
        <v>0.6</v>
      </c>
      <c r="D17" s="9">
        <v>45345</v>
      </c>
      <c r="E17" s="7" t="s">
        <v>15</v>
      </c>
      <c r="F17" s="7"/>
      <c r="G17" s="8" t="s">
        <v>20</v>
      </c>
    </row>
    <row r="18" spans="1:7">
      <c r="A18" s="10"/>
      <c r="B18" s="10"/>
      <c r="C18" s="161">
        <v>0.7</v>
      </c>
      <c r="D18" s="9">
        <v>45366</v>
      </c>
      <c r="E18" s="7" t="s">
        <v>15</v>
      </c>
      <c r="F18" s="7"/>
      <c r="G18" s="8" t="s">
        <v>21</v>
      </c>
    </row>
    <row r="19" spans="1:7" ht="41.4">
      <c r="A19" s="10"/>
      <c r="B19" s="10"/>
      <c r="C19" s="161">
        <v>0.8</v>
      </c>
      <c r="D19" s="9">
        <v>45381</v>
      </c>
      <c r="E19" s="7" t="s">
        <v>15</v>
      </c>
      <c r="F19" s="7"/>
      <c r="G19" s="8" t="s">
        <v>22</v>
      </c>
    </row>
    <row r="20" spans="1:7" ht="70.2" customHeight="1">
      <c r="A20" s="10"/>
      <c r="B20" s="10"/>
      <c r="C20" s="161">
        <v>0.9</v>
      </c>
      <c r="D20" s="9">
        <v>45383</v>
      </c>
      <c r="E20" s="7" t="s">
        <v>15</v>
      </c>
      <c r="F20" s="7"/>
      <c r="G20" s="8" t="s">
        <v>23</v>
      </c>
    </row>
    <row r="21" spans="1:7" ht="82.8">
      <c r="A21" s="10"/>
      <c r="B21" s="10"/>
      <c r="C21" s="162" t="s">
        <v>24</v>
      </c>
      <c r="D21" s="9">
        <v>45385</v>
      </c>
      <c r="E21" s="7" t="s">
        <v>15</v>
      </c>
      <c r="F21" s="7"/>
      <c r="G21" s="8" t="s">
        <v>25</v>
      </c>
    </row>
    <row r="22" spans="1:7" ht="48" customHeight="1">
      <c r="A22" s="10"/>
      <c r="B22" s="10"/>
      <c r="C22" s="162" t="s">
        <v>26</v>
      </c>
      <c r="D22" s="9">
        <v>45392</v>
      </c>
      <c r="E22" s="7" t="s">
        <v>15</v>
      </c>
      <c r="F22" s="7"/>
      <c r="G22" s="8" t="s">
        <v>27</v>
      </c>
    </row>
    <row r="23" spans="1:7" ht="48" customHeight="1">
      <c r="A23" s="10"/>
      <c r="B23" s="10"/>
      <c r="C23" s="162">
        <v>0.12</v>
      </c>
      <c r="D23" s="9">
        <v>45392</v>
      </c>
      <c r="E23" s="7" t="s">
        <v>15</v>
      </c>
      <c r="F23" s="7"/>
      <c r="G23" s="8" t="s">
        <v>28</v>
      </c>
    </row>
    <row r="24" spans="1:7" ht="48" customHeight="1">
      <c r="A24" s="10"/>
      <c r="B24" s="10"/>
      <c r="C24" s="162">
        <v>0.13</v>
      </c>
      <c r="D24" s="9">
        <v>45393</v>
      </c>
      <c r="E24" s="7" t="s">
        <v>15</v>
      </c>
      <c r="F24" s="7"/>
      <c r="G24" s="8" t="s">
        <v>29</v>
      </c>
    </row>
    <row r="25" spans="1:7" ht="48" customHeight="1">
      <c r="A25" s="10"/>
      <c r="B25" s="10"/>
      <c r="C25" s="162">
        <v>0.14000000000000001</v>
      </c>
      <c r="D25" s="9">
        <v>45399</v>
      </c>
      <c r="E25" s="7" t="s">
        <v>15</v>
      </c>
      <c r="F25" s="7"/>
      <c r="G25" s="8" t="s">
        <v>30</v>
      </c>
    </row>
    <row r="26" spans="1:7" ht="48" customHeight="1">
      <c r="A26" s="10"/>
      <c r="B26" s="10"/>
      <c r="C26" s="162">
        <v>0.15</v>
      </c>
      <c r="D26" s="9">
        <v>45405</v>
      </c>
      <c r="E26" s="7" t="s">
        <v>362</v>
      </c>
      <c r="F26" s="7"/>
      <c r="G26" s="8" t="s">
        <v>363</v>
      </c>
    </row>
    <row r="27" spans="1:7" ht="69">
      <c r="A27" s="10"/>
      <c r="B27" s="10"/>
      <c r="C27" s="162">
        <v>0.16</v>
      </c>
      <c r="D27" s="9">
        <v>45407</v>
      </c>
      <c r="E27" s="7" t="s">
        <v>15</v>
      </c>
      <c r="F27" s="7"/>
      <c r="G27" s="8" t="s">
        <v>366</v>
      </c>
    </row>
    <row r="28" spans="1:7" ht="48" customHeight="1">
      <c r="A28" s="10"/>
      <c r="B28" s="10"/>
      <c r="C28" s="162">
        <v>0.17</v>
      </c>
      <c r="D28" s="9">
        <v>45422</v>
      </c>
      <c r="E28" s="7" t="s">
        <v>15</v>
      </c>
      <c r="F28" s="7"/>
      <c r="G28" s="8" t="s">
        <v>374</v>
      </c>
    </row>
    <row r="29" spans="1:7" ht="48" customHeight="1">
      <c r="A29" s="10"/>
      <c r="B29" s="10"/>
      <c r="C29" s="162">
        <v>0.18</v>
      </c>
      <c r="D29" s="9">
        <v>45560</v>
      </c>
      <c r="E29" s="7" t="s">
        <v>385</v>
      </c>
      <c r="F29" s="7"/>
      <c r="G29" s="8" t="s">
        <v>386</v>
      </c>
    </row>
    <row r="30" spans="1:7" ht="27.6">
      <c r="A30" s="10"/>
      <c r="B30" s="10"/>
      <c r="C30" s="161">
        <v>0.19</v>
      </c>
      <c r="D30" s="9">
        <v>45579</v>
      </c>
      <c r="E30" s="7" t="s">
        <v>390</v>
      </c>
      <c r="F30" s="7"/>
      <c r="G30" s="8" t="s">
        <v>391</v>
      </c>
    </row>
    <row r="31" spans="1:7">
      <c r="A31" s="10"/>
      <c r="B31" s="10"/>
      <c r="C31" s="161" t="s">
        <v>394</v>
      </c>
      <c r="D31" s="9">
        <v>45600</v>
      </c>
      <c r="E31" s="7" t="s">
        <v>390</v>
      </c>
      <c r="F31" s="7"/>
      <c r="G31" s="8" t="s">
        <v>393</v>
      </c>
    </row>
    <row r="32" spans="1:7" ht="82.8">
      <c r="A32" s="10"/>
      <c r="B32" s="10"/>
      <c r="C32" s="161" t="s">
        <v>425</v>
      </c>
      <c r="D32" s="238">
        <v>45623</v>
      </c>
      <c r="E32" s="7" t="s">
        <v>390</v>
      </c>
      <c r="F32" s="7"/>
      <c r="G32" s="8" t="s">
        <v>589</v>
      </c>
    </row>
    <row r="33" spans="1:7" ht="69">
      <c r="A33" s="10"/>
      <c r="B33" s="10"/>
      <c r="C33" s="7">
        <v>0.22</v>
      </c>
      <c r="D33" s="9">
        <v>45629</v>
      </c>
      <c r="E33" s="7" t="s">
        <v>659</v>
      </c>
      <c r="F33" s="7"/>
      <c r="G33" s="8" t="s">
        <v>660</v>
      </c>
    </row>
    <row r="34" spans="1:7" ht="201.6">
      <c r="C34" s="70">
        <v>0.23</v>
      </c>
      <c r="D34" s="71">
        <v>45631</v>
      </c>
      <c r="E34" s="70" t="s">
        <v>659</v>
      </c>
      <c r="F34" s="73"/>
      <c r="G34" s="72" t="s">
        <v>730</v>
      </c>
    </row>
    <row r="35" spans="1:7" ht="28.8">
      <c r="C35" s="15">
        <v>0.24</v>
      </c>
      <c r="D35" s="282">
        <v>45455</v>
      </c>
      <c r="E35" s="15" t="s">
        <v>659</v>
      </c>
      <c r="F35" s="15"/>
      <c r="G35" s="283" t="s">
        <v>741</v>
      </c>
    </row>
    <row r="36" spans="1:7" ht="43.2">
      <c r="C36" s="15">
        <v>0.25</v>
      </c>
      <c r="D36" s="286">
        <v>45635</v>
      </c>
      <c r="E36" s="15" t="s">
        <v>746</v>
      </c>
      <c r="F36" s="64"/>
      <c r="G36" s="79" t="s">
        <v>748</v>
      </c>
    </row>
    <row r="37" spans="1:7">
      <c r="C37" s="78"/>
      <c r="D37" s="77"/>
      <c r="E37" s="64"/>
      <c r="F37" s="64"/>
      <c r="G37" s="79"/>
    </row>
    <row r="38" spans="1:7">
      <c r="C38" s="78"/>
      <c r="D38" s="77"/>
      <c r="E38" s="64"/>
      <c r="F38" s="64"/>
      <c r="G38" s="79"/>
    </row>
    <row r="39" spans="1:7">
      <c r="C39" s="78"/>
      <c r="D39" s="77"/>
      <c r="E39" s="64"/>
      <c r="F39" s="64"/>
      <c r="G39" s="79"/>
    </row>
    <row r="40" spans="1:7">
      <c r="C40" s="78"/>
      <c r="D40" s="77"/>
      <c r="E40" s="64"/>
      <c r="F40" s="64"/>
      <c r="G40" s="79"/>
    </row>
    <row r="41" spans="1:7" ht="32.25" customHeight="1">
      <c r="C41" s="64"/>
      <c r="D41" s="83"/>
      <c r="E41" s="64"/>
      <c r="F41" s="64"/>
      <c r="G41" s="84"/>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7"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pageSetUpPr fitToPage="1"/>
  </sheetPr>
  <dimension ref="A1:T57"/>
  <sheetViews>
    <sheetView tabSelected="1" topLeftCell="C12" zoomScale="70" zoomScaleNormal="70" workbookViewId="0">
      <selection activeCell="Q50" sqref="Q50"/>
    </sheetView>
  </sheetViews>
  <sheetFormatPr defaultRowHeight="14.4"/>
  <cols>
    <col min="1" max="1" width="10.44140625" customWidth="1"/>
    <col min="2" max="4" width="30.44140625" customWidth="1"/>
    <col min="5" max="5" width="20.44140625" customWidth="1"/>
    <col min="6" max="6" width="10.44140625" customWidth="1"/>
    <col min="7" max="10" width="10.44140625" hidden="1" customWidth="1"/>
    <col min="11" max="13" width="10.44140625" customWidth="1"/>
    <col min="14" max="14" width="70.44140625" customWidth="1"/>
    <col min="15" max="15" width="50.44140625" customWidth="1"/>
  </cols>
  <sheetData>
    <row r="1" spans="1:15">
      <c r="B1" s="80" t="str">
        <f>CONCATENATE(" Revision :  ",Revision!$C$7,"")</f>
        <v xml:space="preserve"> Revision :  0.23</v>
      </c>
      <c r="C1" s="81" t="str">
        <f>CONCATENATE("Date :")</f>
        <v>Date :</v>
      </c>
      <c r="D1" s="82">
        <f>Revision!$C$8</f>
        <v>45631</v>
      </c>
    </row>
    <row r="2" spans="1:15" ht="15" thickBot="1"/>
    <row r="3" spans="1:15" ht="15" thickBot="1">
      <c r="A3" s="27">
        <v>1</v>
      </c>
      <c r="B3" s="29" t="s">
        <v>31</v>
      </c>
      <c r="C3" s="291" t="s">
        <v>32</v>
      </c>
      <c r="D3" s="292"/>
      <c r="E3" s="293"/>
    </row>
    <row r="4" spans="1:15" ht="15" thickBot="1">
      <c r="A4" s="28">
        <v>2</v>
      </c>
      <c r="B4" s="26" t="s">
        <v>33</v>
      </c>
      <c r="C4" s="294">
        <v>32</v>
      </c>
      <c r="D4" s="295"/>
      <c r="E4" s="296"/>
    </row>
    <row r="5" spans="1:15" ht="15" thickBot="1">
      <c r="A5" s="28">
        <v>3</v>
      </c>
      <c r="B5" s="26" t="s">
        <v>34</v>
      </c>
      <c r="C5" s="294" t="s">
        <v>35</v>
      </c>
      <c r="D5" s="295"/>
      <c r="E5" s="296"/>
    </row>
    <row r="6" spans="1:15" ht="15" thickBot="1">
      <c r="A6" s="28">
        <v>4</v>
      </c>
      <c r="B6" s="26" t="s">
        <v>36</v>
      </c>
      <c r="C6" s="86" t="s">
        <v>37</v>
      </c>
      <c r="D6" s="86" t="s">
        <v>38</v>
      </c>
      <c r="E6" s="87"/>
      <c r="N6" t="s">
        <v>39</v>
      </c>
    </row>
    <row r="7" spans="1:15" ht="15" thickBot="1">
      <c r="A7" s="28">
        <v>5</v>
      </c>
      <c r="B7" s="26" t="s">
        <v>40</v>
      </c>
      <c r="C7" s="109">
        <v>1</v>
      </c>
      <c r="D7" s="56" t="s">
        <v>41</v>
      </c>
      <c r="E7" s="57"/>
    </row>
    <row r="8" spans="1:15" ht="15" thickBot="1">
      <c r="A8" s="28">
        <v>6</v>
      </c>
      <c r="B8" s="26" t="s">
        <v>42</v>
      </c>
      <c r="C8" s="110">
        <f>C9-C7</f>
        <v>31</v>
      </c>
      <c r="D8" s="56" t="s">
        <v>41</v>
      </c>
      <c r="E8" s="57"/>
    </row>
    <row r="9" spans="1:15" ht="15" thickBot="1">
      <c r="A9" s="28">
        <v>7</v>
      </c>
      <c r="B9" s="26" t="s">
        <v>43</v>
      </c>
      <c r="C9" s="110">
        <v>32</v>
      </c>
      <c r="D9" s="56" t="s">
        <v>41</v>
      </c>
      <c r="E9" s="57"/>
    </row>
    <row r="10" spans="1:15" ht="15" thickBot="1">
      <c r="G10" s="297" t="s">
        <v>699</v>
      </c>
      <c r="H10" s="298"/>
      <c r="I10" s="298"/>
      <c r="J10" s="299"/>
    </row>
    <row r="11" spans="1:15" ht="50.1" customHeight="1" thickBot="1">
      <c r="A11" s="255" t="s">
        <v>44</v>
      </c>
      <c r="B11" s="256" t="s">
        <v>45</v>
      </c>
      <c r="C11" s="256" t="s">
        <v>44</v>
      </c>
      <c r="D11" s="256" t="s">
        <v>46</v>
      </c>
      <c r="E11" s="256" t="s">
        <v>47</v>
      </c>
      <c r="F11" s="257" t="s">
        <v>48</v>
      </c>
      <c r="G11" s="258" t="s">
        <v>49</v>
      </c>
      <c r="H11" s="259" t="s">
        <v>50</v>
      </c>
      <c r="I11" s="259" t="s">
        <v>51</v>
      </c>
      <c r="J11" s="260" t="s">
        <v>52</v>
      </c>
      <c r="K11" s="261" t="s">
        <v>53</v>
      </c>
      <c r="L11" s="256" t="s">
        <v>54</v>
      </c>
      <c r="M11" s="256" t="s">
        <v>55</v>
      </c>
      <c r="N11" s="262" t="s">
        <v>56</v>
      </c>
    </row>
    <row r="12" spans="1:15" ht="15" customHeight="1" thickBot="1">
      <c r="A12" s="300" t="s">
        <v>722</v>
      </c>
      <c r="B12" s="301"/>
      <c r="C12" s="301"/>
      <c r="D12" s="301"/>
      <c r="E12" s="301"/>
      <c r="F12" s="301"/>
      <c r="G12" s="301"/>
      <c r="H12" s="301"/>
      <c r="I12" s="301"/>
      <c r="J12" s="301"/>
      <c r="K12" s="301"/>
      <c r="L12" s="301"/>
      <c r="M12" s="301"/>
      <c r="N12" s="302"/>
    </row>
    <row r="13" spans="1:15" ht="15" customHeight="1">
      <c r="A13" s="250">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309" t="s">
        <v>735</v>
      </c>
    </row>
    <row r="14" spans="1:15" ht="15" customHeight="1">
      <c r="A14" s="251">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310"/>
    </row>
    <row r="15" spans="1:15" ht="15" customHeight="1">
      <c r="A15" s="251">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310"/>
    </row>
    <row r="16" spans="1:15" ht="15" customHeight="1">
      <c r="A16" s="251">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310"/>
    </row>
    <row r="17" spans="1:20" ht="15" customHeight="1">
      <c r="A17" s="252">
        <v>5</v>
      </c>
      <c r="B17" s="91" t="s">
        <v>57</v>
      </c>
      <c r="C17" s="91" t="s">
        <v>666</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700</v>
      </c>
      <c r="O17" s="310"/>
    </row>
    <row r="18" spans="1:20" ht="15" customHeight="1" thickBot="1">
      <c r="A18" s="253">
        <v>6</v>
      </c>
      <c r="B18" s="200" t="s">
        <v>57</v>
      </c>
      <c r="C18" s="200" t="s">
        <v>71</v>
      </c>
      <c r="D18" s="200" t="s">
        <v>72</v>
      </c>
      <c r="E18" s="200" t="s">
        <v>60</v>
      </c>
      <c r="F18" s="200">
        <v>2</v>
      </c>
      <c r="G18" s="200" t="s">
        <v>61</v>
      </c>
      <c r="H18" s="200" t="str">
        <f t="shared" si="0"/>
        <v>No</v>
      </c>
      <c r="I18" s="200" t="s">
        <v>62</v>
      </c>
      <c r="J18" s="200" t="s">
        <v>62</v>
      </c>
      <c r="K18" s="200">
        <f t="shared" si="1"/>
        <v>2</v>
      </c>
      <c r="L18" s="200">
        <f t="shared" si="2"/>
        <v>31754</v>
      </c>
      <c r="M18" s="200" t="str">
        <f t="shared" si="3"/>
        <v>7C0A</v>
      </c>
      <c r="N18" s="201" t="s">
        <v>701</v>
      </c>
      <c r="O18" s="310"/>
    </row>
    <row r="19" spans="1:20" ht="15" customHeight="1" thickBot="1">
      <c r="A19" s="306" t="s">
        <v>724</v>
      </c>
      <c r="B19" s="307"/>
      <c r="C19" s="307"/>
      <c r="D19" s="307"/>
      <c r="E19" s="307"/>
      <c r="F19" s="307"/>
      <c r="G19" s="307"/>
      <c r="H19" s="307"/>
      <c r="I19" s="307"/>
      <c r="J19" s="307"/>
      <c r="K19" s="307"/>
      <c r="L19" s="307"/>
      <c r="M19" s="307"/>
      <c r="N19" s="308"/>
      <c r="O19" s="43"/>
    </row>
    <row r="20" spans="1:20" ht="15" customHeight="1">
      <c r="A20" s="202">
        <v>7</v>
      </c>
      <c r="B20" s="94" t="s">
        <v>702</v>
      </c>
      <c r="C20" s="94" t="s">
        <v>75</v>
      </c>
      <c r="D20" s="94" t="s">
        <v>85</v>
      </c>
      <c r="E20" s="94" t="s">
        <v>76</v>
      </c>
      <c r="F20" s="94">
        <v>1</v>
      </c>
      <c r="G20" s="94" t="s">
        <v>61</v>
      </c>
      <c r="H20" s="94" t="str">
        <f t="shared" si="0"/>
        <v>No</v>
      </c>
      <c r="I20" s="94" t="s">
        <v>62</v>
      </c>
      <c r="J20" s="94" t="s">
        <v>62</v>
      </c>
      <c r="K20" s="94">
        <f t="shared" si="1"/>
        <v>1</v>
      </c>
      <c r="L20" s="94">
        <f>K18+L18</f>
        <v>31756</v>
      </c>
      <c r="M20" s="94" t="str">
        <f t="shared" si="3"/>
        <v>7C0C</v>
      </c>
      <c r="N20" s="122"/>
      <c r="O20" s="314" t="s">
        <v>732</v>
      </c>
    </row>
    <row r="21" spans="1:20" ht="15" customHeight="1">
      <c r="A21" s="203">
        <v>8</v>
      </c>
      <c r="B21" s="123" t="s">
        <v>702</v>
      </c>
      <c r="C21" s="204" t="s">
        <v>75</v>
      </c>
      <c r="D21" s="204" t="s">
        <v>85</v>
      </c>
      <c r="E21" s="204" t="s">
        <v>76</v>
      </c>
      <c r="F21" s="204">
        <v>1</v>
      </c>
      <c r="G21" s="204" t="s">
        <v>61</v>
      </c>
      <c r="H21" s="204" t="str">
        <f t="shared" si="0"/>
        <v>No</v>
      </c>
      <c r="I21" s="204" t="s">
        <v>62</v>
      </c>
      <c r="J21" s="204" t="s">
        <v>62</v>
      </c>
      <c r="K21" s="204">
        <f t="shared" si="1"/>
        <v>1</v>
      </c>
      <c r="L21" s="204">
        <f t="shared" si="2"/>
        <v>31757</v>
      </c>
      <c r="M21" s="204" t="str">
        <f t="shared" si="3"/>
        <v>7C0D</v>
      </c>
      <c r="N21" s="205"/>
      <c r="O21" s="315"/>
    </row>
    <row r="22" spans="1:20" ht="15" customHeight="1">
      <c r="A22" s="203">
        <v>9</v>
      </c>
      <c r="B22" s="123" t="s">
        <v>702</v>
      </c>
      <c r="C22" s="204" t="s">
        <v>87</v>
      </c>
      <c r="D22" s="204" t="s">
        <v>85</v>
      </c>
      <c r="E22" s="204" t="s">
        <v>76</v>
      </c>
      <c r="F22" s="204">
        <v>1</v>
      </c>
      <c r="G22" s="204" t="s">
        <v>61</v>
      </c>
      <c r="H22" s="204" t="str">
        <f t="shared" si="0"/>
        <v>No</v>
      </c>
      <c r="I22" s="204" t="s">
        <v>62</v>
      </c>
      <c r="J22" s="204" t="s">
        <v>62</v>
      </c>
      <c r="K22" s="204">
        <f t="shared" si="1"/>
        <v>1</v>
      </c>
      <c r="L22" s="204">
        <f t="shared" si="2"/>
        <v>31758</v>
      </c>
      <c r="M22" s="204" t="str">
        <f t="shared" si="3"/>
        <v>7C0E</v>
      </c>
      <c r="N22" s="205"/>
      <c r="O22" s="315"/>
      <c r="P22" s="111"/>
      <c r="Q22" s="111"/>
      <c r="R22" s="111"/>
      <c r="S22" s="111"/>
      <c r="T22" s="111"/>
    </row>
    <row r="23" spans="1:20" ht="15" customHeight="1" thickBot="1">
      <c r="A23" s="206">
        <v>10</v>
      </c>
      <c r="B23" s="95" t="s">
        <v>702</v>
      </c>
      <c r="C23" s="95" t="s">
        <v>87</v>
      </c>
      <c r="D23" s="95" t="s">
        <v>85</v>
      </c>
      <c r="E23" s="95" t="s">
        <v>76</v>
      </c>
      <c r="F23" s="95">
        <v>1</v>
      </c>
      <c r="G23" s="95" t="s">
        <v>61</v>
      </c>
      <c r="H23" s="95" t="str">
        <f t="shared" si="0"/>
        <v>No</v>
      </c>
      <c r="I23" s="95" t="s">
        <v>62</v>
      </c>
      <c r="J23" s="95" t="s">
        <v>62</v>
      </c>
      <c r="K23" s="95">
        <f t="shared" si="1"/>
        <v>1</v>
      </c>
      <c r="L23" s="95">
        <f t="shared" si="2"/>
        <v>31759</v>
      </c>
      <c r="M23" s="95" t="str">
        <f t="shared" si="3"/>
        <v>7C0F</v>
      </c>
      <c r="N23" s="207"/>
      <c r="O23" s="315"/>
      <c r="P23" s="111"/>
      <c r="Q23" s="111"/>
      <c r="R23" s="111"/>
      <c r="S23" s="111"/>
      <c r="T23" s="111"/>
    </row>
    <row r="24" spans="1:20" ht="15" customHeight="1" thickBot="1">
      <c r="A24" s="316" t="s">
        <v>88</v>
      </c>
      <c r="B24" s="317"/>
      <c r="C24" s="317"/>
      <c r="D24" s="317"/>
      <c r="E24" s="317"/>
      <c r="F24" s="317"/>
      <c r="G24" s="317"/>
      <c r="H24" s="317"/>
      <c r="I24" s="317"/>
      <c r="J24" s="317"/>
      <c r="K24" s="317"/>
      <c r="L24" s="317"/>
      <c r="M24" s="317"/>
      <c r="N24" s="318"/>
      <c r="P24" s="111"/>
      <c r="Q24" s="111"/>
      <c r="R24" s="111"/>
      <c r="S24" s="111"/>
      <c r="T24" s="111"/>
    </row>
    <row r="25" spans="1:20" ht="15" customHeight="1">
      <c r="A25" s="208">
        <v>11</v>
      </c>
      <c r="B25" s="96" t="s">
        <v>89</v>
      </c>
      <c r="C25" s="96" t="s">
        <v>90</v>
      </c>
      <c r="D25" s="96" t="s">
        <v>91</v>
      </c>
      <c r="E25" s="96" t="s">
        <v>76</v>
      </c>
      <c r="F25" s="96">
        <v>4</v>
      </c>
      <c r="G25" s="96" t="s">
        <v>61</v>
      </c>
      <c r="H25" s="96" t="str">
        <f t="shared" si="0"/>
        <v>No</v>
      </c>
      <c r="I25" s="96" t="s">
        <v>62</v>
      </c>
      <c r="J25" s="96" t="s">
        <v>62</v>
      </c>
      <c r="K25" s="96">
        <f t="shared" si="1"/>
        <v>4</v>
      </c>
      <c r="L25" s="96">
        <f>K23+L23</f>
        <v>31760</v>
      </c>
      <c r="M25" s="96" t="str">
        <f t="shared" ref="M25:M34" si="4">DEC2HEX(L25,4)</f>
        <v>7C10</v>
      </c>
      <c r="N25" s="99" t="s">
        <v>92</v>
      </c>
      <c r="O25" s="319" t="s">
        <v>734</v>
      </c>
      <c r="P25" s="111"/>
      <c r="Q25" s="111"/>
      <c r="R25" s="111"/>
      <c r="S25" s="111"/>
      <c r="T25" s="111"/>
    </row>
    <row r="26" spans="1:20" ht="15" customHeight="1">
      <c r="A26" s="209">
        <v>12</v>
      </c>
      <c r="B26" s="97" t="s">
        <v>89</v>
      </c>
      <c r="C26" s="97" t="s">
        <v>93</v>
      </c>
      <c r="D26" s="108" t="s">
        <v>94</v>
      </c>
      <c r="E26" s="97" t="s">
        <v>76</v>
      </c>
      <c r="F26" s="97">
        <v>10</v>
      </c>
      <c r="G26" s="97" t="s">
        <v>61</v>
      </c>
      <c r="H26" s="97" t="s">
        <v>62</v>
      </c>
      <c r="I26" s="97" t="s">
        <v>62</v>
      </c>
      <c r="J26" s="97" t="s">
        <v>62</v>
      </c>
      <c r="K26" s="97">
        <f t="shared" si="1"/>
        <v>10</v>
      </c>
      <c r="L26" s="97">
        <f t="shared" ref="L26:L34" si="5">K25+L25</f>
        <v>31764</v>
      </c>
      <c r="M26" s="97" t="str">
        <f t="shared" si="4"/>
        <v>7C14</v>
      </c>
      <c r="N26" s="100" t="s">
        <v>95</v>
      </c>
      <c r="O26" s="319"/>
      <c r="P26" s="111"/>
      <c r="Q26" s="111"/>
      <c r="R26" s="111"/>
      <c r="S26" s="111"/>
      <c r="T26" s="111"/>
    </row>
    <row r="27" spans="1:20" ht="15" customHeight="1" thickBot="1">
      <c r="A27" s="210">
        <v>13</v>
      </c>
      <c r="B27" s="98" t="s">
        <v>96</v>
      </c>
      <c r="C27" s="98" t="s">
        <v>97</v>
      </c>
      <c r="D27" s="98" t="s">
        <v>98</v>
      </c>
      <c r="E27" s="98" t="s">
        <v>60</v>
      </c>
      <c r="F27" s="98">
        <v>2</v>
      </c>
      <c r="G27" s="98" t="s">
        <v>61</v>
      </c>
      <c r="H27" s="98" t="str">
        <f t="shared" ref="H27:H34" si="6">IF(G27="ECC","Yes","No")</f>
        <v>No</v>
      </c>
      <c r="I27" s="98" t="s">
        <v>62</v>
      </c>
      <c r="J27" s="98" t="s">
        <v>62</v>
      </c>
      <c r="K27" s="98">
        <f t="shared" si="1"/>
        <v>2</v>
      </c>
      <c r="L27" s="98">
        <f t="shared" si="5"/>
        <v>31774</v>
      </c>
      <c r="M27" s="98" t="str">
        <f t="shared" si="4"/>
        <v>7C1E</v>
      </c>
      <c r="N27" s="101" t="s">
        <v>99</v>
      </c>
      <c r="O27" s="319"/>
      <c r="P27" s="111"/>
      <c r="Q27" s="111"/>
      <c r="R27" s="111"/>
      <c r="S27" s="111"/>
      <c r="T27" s="111"/>
    </row>
    <row r="28" spans="1:20" ht="15" customHeight="1">
      <c r="A28" s="208">
        <v>14</v>
      </c>
      <c r="B28" s="96" t="s">
        <v>96</v>
      </c>
      <c r="C28" s="96" t="s">
        <v>100</v>
      </c>
      <c r="D28" s="96" t="s">
        <v>101</v>
      </c>
      <c r="E28" s="96" t="s">
        <v>76</v>
      </c>
      <c r="F28" s="96">
        <v>2</v>
      </c>
      <c r="G28" s="96" t="s">
        <v>61</v>
      </c>
      <c r="H28" s="96" t="str">
        <f t="shared" si="6"/>
        <v>No</v>
      </c>
      <c r="I28" s="96" t="s">
        <v>102</v>
      </c>
      <c r="J28" s="96" t="s">
        <v>62</v>
      </c>
      <c r="K28" s="96">
        <f t="shared" ref="K28:K33" si="7">F28*IF(G28="Redundant",2,1)</f>
        <v>2</v>
      </c>
      <c r="L28" s="96">
        <f t="shared" si="5"/>
        <v>31776</v>
      </c>
      <c r="M28" s="96" t="str">
        <f t="shared" si="4"/>
        <v>7C20</v>
      </c>
      <c r="N28" s="99" t="s">
        <v>103</v>
      </c>
      <c r="O28" s="319"/>
      <c r="P28" s="111"/>
      <c r="Q28" s="111"/>
      <c r="R28" s="111"/>
      <c r="S28" s="111"/>
      <c r="T28" s="111"/>
    </row>
    <row r="29" spans="1:20" ht="15" customHeight="1">
      <c r="A29" s="209">
        <v>15</v>
      </c>
      <c r="B29" s="97" t="s">
        <v>86</v>
      </c>
      <c r="C29" s="97" t="s">
        <v>104</v>
      </c>
      <c r="D29" s="97" t="s">
        <v>85</v>
      </c>
      <c r="E29" s="97" t="s">
        <v>76</v>
      </c>
      <c r="F29" s="97">
        <v>1</v>
      </c>
      <c r="G29" s="97" t="s">
        <v>61</v>
      </c>
      <c r="H29" s="97" t="str">
        <f t="shared" si="6"/>
        <v>No</v>
      </c>
      <c r="I29" s="97" t="s">
        <v>102</v>
      </c>
      <c r="J29" s="97" t="s">
        <v>62</v>
      </c>
      <c r="K29" s="97">
        <f t="shared" si="7"/>
        <v>1</v>
      </c>
      <c r="L29" s="97">
        <f t="shared" si="5"/>
        <v>31778</v>
      </c>
      <c r="M29" s="97" t="str">
        <f t="shared" si="4"/>
        <v>7C22</v>
      </c>
      <c r="N29" s="100" t="s">
        <v>105</v>
      </c>
      <c r="O29" s="319"/>
      <c r="P29" s="111"/>
      <c r="Q29" s="111"/>
      <c r="R29" s="111"/>
      <c r="S29" s="111"/>
      <c r="T29" s="111"/>
    </row>
    <row r="30" spans="1:20" ht="15" customHeight="1">
      <c r="A30" s="209">
        <v>16</v>
      </c>
      <c r="B30" s="97" t="s">
        <v>89</v>
      </c>
      <c r="C30" s="97" t="s">
        <v>106</v>
      </c>
      <c r="D30" s="97" t="s">
        <v>107</v>
      </c>
      <c r="E30" s="97" t="s">
        <v>76</v>
      </c>
      <c r="F30" s="97">
        <v>1</v>
      </c>
      <c r="G30" s="97" t="s">
        <v>61</v>
      </c>
      <c r="H30" s="97" t="str">
        <f t="shared" si="6"/>
        <v>No</v>
      </c>
      <c r="I30" s="97" t="s">
        <v>102</v>
      </c>
      <c r="J30" s="97" t="s">
        <v>62</v>
      </c>
      <c r="K30" s="97">
        <f t="shared" si="7"/>
        <v>1</v>
      </c>
      <c r="L30" s="97">
        <f t="shared" si="5"/>
        <v>31779</v>
      </c>
      <c r="M30" s="97" t="str">
        <f t="shared" si="4"/>
        <v>7C23</v>
      </c>
      <c r="N30" s="100" t="s">
        <v>108</v>
      </c>
      <c r="O30" s="319"/>
      <c r="P30" s="111"/>
      <c r="Q30" s="111"/>
      <c r="R30" s="111"/>
      <c r="S30" s="111"/>
      <c r="T30" s="111"/>
    </row>
    <row r="31" spans="1:20" ht="15" customHeight="1">
      <c r="A31" s="209">
        <v>17</v>
      </c>
      <c r="B31" s="97" t="s">
        <v>89</v>
      </c>
      <c r="C31" s="97" t="s">
        <v>109</v>
      </c>
      <c r="D31" s="97" t="s">
        <v>110</v>
      </c>
      <c r="E31" s="97" t="s">
        <v>60</v>
      </c>
      <c r="F31" s="97">
        <v>5</v>
      </c>
      <c r="G31" s="97" t="s">
        <v>61</v>
      </c>
      <c r="H31" s="97" t="str">
        <f t="shared" si="6"/>
        <v>No</v>
      </c>
      <c r="I31" s="97" t="s">
        <v>102</v>
      </c>
      <c r="J31" s="97" t="s">
        <v>62</v>
      </c>
      <c r="K31" s="97">
        <f t="shared" si="7"/>
        <v>5</v>
      </c>
      <c r="L31" s="97">
        <f t="shared" si="5"/>
        <v>31780</v>
      </c>
      <c r="M31" s="97" t="str">
        <f t="shared" si="4"/>
        <v>7C24</v>
      </c>
      <c r="N31" s="100" t="s">
        <v>111</v>
      </c>
      <c r="O31" s="319"/>
      <c r="P31" s="111"/>
      <c r="Q31" s="111"/>
      <c r="R31" s="111"/>
      <c r="S31" s="111"/>
      <c r="T31" s="111"/>
    </row>
    <row r="32" spans="1:20" ht="15" customHeight="1" thickBot="1">
      <c r="A32" s="210">
        <v>18</v>
      </c>
      <c r="B32" s="98" t="s">
        <v>89</v>
      </c>
      <c r="C32" s="98" t="s">
        <v>112</v>
      </c>
      <c r="D32" s="98" t="s">
        <v>113</v>
      </c>
      <c r="E32" s="98" t="s">
        <v>60</v>
      </c>
      <c r="F32" s="98">
        <v>287</v>
      </c>
      <c r="G32" s="98" t="s">
        <v>61</v>
      </c>
      <c r="H32" s="98" t="str">
        <f t="shared" si="6"/>
        <v>No</v>
      </c>
      <c r="I32" s="98" t="s">
        <v>102</v>
      </c>
      <c r="J32" s="98" t="s">
        <v>102</v>
      </c>
      <c r="K32" s="98">
        <f t="shared" si="7"/>
        <v>287</v>
      </c>
      <c r="L32" s="98">
        <f t="shared" si="5"/>
        <v>31785</v>
      </c>
      <c r="M32" s="98" t="str">
        <f t="shared" si="4"/>
        <v>7C29</v>
      </c>
      <c r="N32" s="101" t="s">
        <v>114</v>
      </c>
      <c r="O32" s="319"/>
    </row>
    <row r="33" spans="1:15" ht="15" customHeight="1">
      <c r="A33" s="211">
        <v>19</v>
      </c>
      <c r="B33" s="104" t="s">
        <v>89</v>
      </c>
      <c r="C33" s="104" t="s">
        <v>104</v>
      </c>
      <c r="D33" s="104" t="s">
        <v>115</v>
      </c>
      <c r="E33" s="104" t="s">
        <v>76</v>
      </c>
      <c r="F33" s="104">
        <v>2</v>
      </c>
      <c r="G33" s="104" t="s">
        <v>61</v>
      </c>
      <c r="H33" s="104" t="str">
        <f t="shared" si="6"/>
        <v>No</v>
      </c>
      <c r="I33" s="104" t="s">
        <v>102</v>
      </c>
      <c r="J33" s="104" t="s">
        <v>62</v>
      </c>
      <c r="K33" s="104">
        <f t="shared" si="7"/>
        <v>2</v>
      </c>
      <c r="L33" s="104">
        <f t="shared" si="5"/>
        <v>32072</v>
      </c>
      <c r="M33" s="104" t="str">
        <f t="shared" si="4"/>
        <v>7D48</v>
      </c>
      <c r="N33" s="212" t="s">
        <v>116</v>
      </c>
      <c r="O33" s="319"/>
    </row>
    <row r="34" spans="1:15" ht="15" customHeight="1" thickBot="1">
      <c r="A34" s="210">
        <v>20</v>
      </c>
      <c r="B34" s="98" t="s">
        <v>89</v>
      </c>
      <c r="C34" s="98" t="s">
        <v>117</v>
      </c>
      <c r="D34" s="98" t="s">
        <v>118</v>
      </c>
      <c r="E34" s="98" t="s">
        <v>60</v>
      </c>
      <c r="F34" s="98">
        <v>2</v>
      </c>
      <c r="G34" s="98" t="s">
        <v>61</v>
      </c>
      <c r="H34" s="98" t="str">
        <f t="shared" si="6"/>
        <v>No</v>
      </c>
      <c r="I34" s="98" t="s">
        <v>102</v>
      </c>
      <c r="J34" s="98" t="s">
        <v>62</v>
      </c>
      <c r="K34" s="98">
        <f>F34*IF(G34="Redundant",2,1)</f>
        <v>2</v>
      </c>
      <c r="L34" s="98">
        <f t="shared" si="5"/>
        <v>32074</v>
      </c>
      <c r="M34" s="98" t="str">
        <f t="shared" si="4"/>
        <v>7D4A</v>
      </c>
      <c r="N34" s="101" t="s">
        <v>733</v>
      </c>
      <c r="O34" s="319"/>
    </row>
    <row r="35" spans="1:15" ht="15" customHeight="1" thickBot="1">
      <c r="A35" s="311" t="s">
        <v>725</v>
      </c>
      <c r="B35" s="312"/>
      <c r="C35" s="312"/>
      <c r="D35" s="312"/>
      <c r="E35" s="312"/>
      <c r="F35" s="312"/>
      <c r="G35" s="312"/>
      <c r="H35" s="312"/>
      <c r="I35" s="312"/>
      <c r="J35" s="312"/>
      <c r="K35" s="312"/>
      <c r="L35" s="312"/>
      <c r="M35" s="312"/>
      <c r="N35" s="313"/>
    </row>
    <row r="36" spans="1:15" ht="15" customHeight="1">
      <c r="A36" s="213">
        <v>21</v>
      </c>
      <c r="B36" s="214" t="s">
        <v>89</v>
      </c>
      <c r="C36" s="214" t="s">
        <v>703</v>
      </c>
      <c r="D36" s="214" t="s">
        <v>119</v>
      </c>
      <c r="E36" s="214" t="s">
        <v>60</v>
      </c>
      <c r="F36" s="214">
        <v>1</v>
      </c>
      <c r="G36" s="214" t="s">
        <v>61</v>
      </c>
      <c r="H36" s="214" t="s">
        <v>62</v>
      </c>
      <c r="I36" s="214" t="s">
        <v>62</v>
      </c>
      <c r="J36" s="214" t="s">
        <v>62</v>
      </c>
      <c r="K36" s="214">
        <f t="shared" ref="K36:K42" si="8">F36</f>
        <v>1</v>
      </c>
      <c r="L36" s="214">
        <f>K34+L34</f>
        <v>32076</v>
      </c>
      <c r="M36" s="214" t="str">
        <f t="shared" ref="M36:M38" si="9">DEC2HEX(L36,4)</f>
        <v>7D4C</v>
      </c>
      <c r="N36" s="215" t="s">
        <v>744</v>
      </c>
      <c r="O36" s="324" t="s">
        <v>736</v>
      </c>
    </row>
    <row r="37" spans="1:15" ht="28.8">
      <c r="A37" s="216">
        <v>22</v>
      </c>
      <c r="B37" s="102" t="s">
        <v>89</v>
      </c>
      <c r="C37" s="102" t="s">
        <v>747</v>
      </c>
      <c r="D37" s="102" t="s">
        <v>120</v>
      </c>
      <c r="E37" s="102" t="s">
        <v>60</v>
      </c>
      <c r="F37" s="102">
        <v>1</v>
      </c>
      <c r="G37" s="102" t="s">
        <v>61</v>
      </c>
      <c r="H37" s="102" t="s">
        <v>62</v>
      </c>
      <c r="I37" s="102" t="s">
        <v>62</v>
      </c>
      <c r="J37" s="102" t="s">
        <v>62</v>
      </c>
      <c r="K37" s="102">
        <f t="shared" si="8"/>
        <v>1</v>
      </c>
      <c r="L37" s="102">
        <f t="shared" ref="L37:L42" si="10">K36+L36</f>
        <v>32077</v>
      </c>
      <c r="M37" s="102" t="str">
        <f t="shared" si="9"/>
        <v>7D4D</v>
      </c>
      <c r="N37" s="285" t="s">
        <v>745</v>
      </c>
      <c r="O37" s="325"/>
    </row>
    <row r="38" spans="1:15" ht="15" customHeight="1">
      <c r="A38" s="216">
        <v>23</v>
      </c>
      <c r="B38" s="102" t="s">
        <v>89</v>
      </c>
      <c r="C38" s="102" t="s">
        <v>122</v>
      </c>
      <c r="D38" s="102" t="s">
        <v>123</v>
      </c>
      <c r="E38" s="102" t="s">
        <v>60</v>
      </c>
      <c r="F38" s="102">
        <v>2</v>
      </c>
      <c r="G38" s="102" t="s">
        <v>61</v>
      </c>
      <c r="H38" s="102" t="s">
        <v>62</v>
      </c>
      <c r="I38" s="102" t="s">
        <v>62</v>
      </c>
      <c r="J38" s="102" t="s">
        <v>62</v>
      </c>
      <c r="K38" s="102">
        <f t="shared" ref="K38" si="11">F38</f>
        <v>2</v>
      </c>
      <c r="L38" s="102">
        <f t="shared" si="10"/>
        <v>32078</v>
      </c>
      <c r="M38" s="102" t="str">
        <f t="shared" si="9"/>
        <v>7D4E</v>
      </c>
      <c r="N38" s="103" t="s">
        <v>743</v>
      </c>
      <c r="O38" s="326"/>
    </row>
    <row r="39" spans="1:15" ht="72">
      <c r="A39" s="274">
        <v>24</v>
      </c>
      <c r="B39" s="275" t="s">
        <v>89</v>
      </c>
      <c r="C39" s="275" t="s">
        <v>704</v>
      </c>
      <c r="D39" s="275" t="s">
        <v>121</v>
      </c>
      <c r="E39" s="275" t="s">
        <v>60</v>
      </c>
      <c r="F39" s="275">
        <v>4</v>
      </c>
      <c r="G39" s="275" t="s">
        <v>61</v>
      </c>
      <c r="H39" s="275" t="s">
        <v>62</v>
      </c>
      <c r="I39" s="275" t="s">
        <v>62</v>
      </c>
      <c r="J39" s="275" t="s">
        <v>62</v>
      </c>
      <c r="K39" s="275">
        <f t="shared" si="8"/>
        <v>4</v>
      </c>
      <c r="L39" s="275">
        <f>K38+L38</f>
        <v>32080</v>
      </c>
      <c r="M39" s="275" t="str">
        <f t="shared" ref="M39" si="12">DEC2HEX(L39,4)</f>
        <v>7D50</v>
      </c>
      <c r="N39" s="284" t="s">
        <v>742</v>
      </c>
      <c r="O39" s="277" t="s">
        <v>737</v>
      </c>
    </row>
    <row r="40" spans="1:15" ht="15" customHeight="1">
      <c r="A40" s="216">
        <v>25</v>
      </c>
      <c r="B40" s="102" t="s">
        <v>89</v>
      </c>
      <c r="C40" s="102" t="s">
        <v>375</v>
      </c>
      <c r="D40" s="102" t="s">
        <v>120</v>
      </c>
      <c r="E40" s="102" t="s">
        <v>60</v>
      </c>
      <c r="F40" s="102">
        <v>8</v>
      </c>
      <c r="G40" s="102" t="s">
        <v>61</v>
      </c>
      <c r="H40" s="102" t="s">
        <v>62</v>
      </c>
      <c r="I40" s="102" t="s">
        <v>62</v>
      </c>
      <c r="J40" s="102" t="s">
        <v>62</v>
      </c>
      <c r="K40" s="102">
        <f t="shared" ref="K40" si="13">F40</f>
        <v>8</v>
      </c>
      <c r="L40" s="102">
        <f t="shared" si="10"/>
        <v>32084</v>
      </c>
      <c r="M40" s="102" t="str">
        <f t="shared" ref="M40" si="14">DEC2HEX(L40,4)</f>
        <v>7D54</v>
      </c>
      <c r="N40" s="103" t="s">
        <v>86</v>
      </c>
      <c r="O40" s="278"/>
    </row>
    <row r="41" spans="1:15" ht="15" customHeight="1">
      <c r="A41" s="274">
        <v>26</v>
      </c>
      <c r="B41" s="275" t="s">
        <v>89</v>
      </c>
      <c r="C41" s="275" t="s">
        <v>122</v>
      </c>
      <c r="D41" s="275" t="s">
        <v>123</v>
      </c>
      <c r="E41" s="275" t="s">
        <v>60</v>
      </c>
      <c r="F41" s="275">
        <v>2</v>
      </c>
      <c r="G41" s="275" t="s">
        <v>61</v>
      </c>
      <c r="H41" s="275" t="s">
        <v>62</v>
      </c>
      <c r="I41" s="275" t="s">
        <v>62</v>
      </c>
      <c r="J41" s="275" t="s">
        <v>62</v>
      </c>
      <c r="K41" s="275">
        <f t="shared" si="8"/>
        <v>2</v>
      </c>
      <c r="L41" s="275">
        <f t="shared" ref="L41" si="15">K40+L40</f>
        <v>32092</v>
      </c>
      <c r="M41" s="275" t="str">
        <f t="shared" ref="M41" si="16">DEC2HEX(L41,4)</f>
        <v>7D5C</v>
      </c>
      <c r="N41" s="276" t="s">
        <v>738</v>
      </c>
      <c r="O41" s="323" t="s">
        <v>731</v>
      </c>
    </row>
    <row r="42" spans="1:15" ht="15" customHeight="1" thickBot="1">
      <c r="A42" s="279">
        <v>27</v>
      </c>
      <c r="B42" s="280" t="s">
        <v>89</v>
      </c>
      <c r="C42" s="280" t="s">
        <v>705</v>
      </c>
      <c r="D42" s="280" t="s">
        <v>125</v>
      </c>
      <c r="E42" s="280" t="s">
        <v>60</v>
      </c>
      <c r="F42" s="280">
        <v>2</v>
      </c>
      <c r="G42" s="280" t="s">
        <v>61</v>
      </c>
      <c r="H42" s="280" t="s">
        <v>62</v>
      </c>
      <c r="I42" s="280" t="s">
        <v>62</v>
      </c>
      <c r="J42" s="280" t="s">
        <v>62</v>
      </c>
      <c r="K42" s="280">
        <f t="shared" si="8"/>
        <v>2</v>
      </c>
      <c r="L42" s="280">
        <f t="shared" si="10"/>
        <v>32094</v>
      </c>
      <c r="M42" s="280" t="str">
        <f>DEC2HEX(L42,4)</f>
        <v>7D5E</v>
      </c>
      <c r="N42" s="281" t="s">
        <v>706</v>
      </c>
      <c r="O42" s="323"/>
    </row>
    <row r="43" spans="1:15" ht="15" customHeight="1" thickBot="1">
      <c r="A43" s="320" t="s">
        <v>726</v>
      </c>
      <c r="B43" s="321"/>
      <c r="C43" s="321"/>
      <c r="D43" s="321"/>
      <c r="E43" s="321"/>
      <c r="F43" s="321"/>
      <c r="G43" s="321"/>
      <c r="H43" s="321"/>
      <c r="I43" s="321"/>
      <c r="J43" s="321"/>
      <c r="K43" s="321"/>
      <c r="L43" s="321"/>
      <c r="M43" s="321"/>
      <c r="N43" s="322"/>
    </row>
    <row r="44" spans="1:15" ht="15" customHeight="1" thickBot="1">
      <c r="A44" s="217">
        <v>28</v>
      </c>
      <c r="B44" s="218" t="s">
        <v>707</v>
      </c>
      <c r="C44" s="218" t="s">
        <v>708</v>
      </c>
      <c r="D44" s="218" t="s">
        <v>65</v>
      </c>
      <c r="E44" s="218" t="s">
        <v>60</v>
      </c>
      <c r="F44" s="218">
        <v>4</v>
      </c>
      <c r="G44" s="218" t="s">
        <v>61</v>
      </c>
      <c r="H44" s="218" t="s">
        <v>62</v>
      </c>
      <c r="I44" s="218" t="s">
        <v>62</v>
      </c>
      <c r="J44" s="218" t="s">
        <v>62</v>
      </c>
      <c r="K44" s="219">
        <f>F44</f>
        <v>4</v>
      </c>
      <c r="L44" s="219">
        <f>K42+L42</f>
        <v>32096</v>
      </c>
      <c r="M44" s="219" t="str">
        <f>DEC2HEX(L44,4)</f>
        <v>7D60</v>
      </c>
      <c r="N44" s="220" t="s">
        <v>728</v>
      </c>
      <c r="O44" s="221" t="s">
        <v>729</v>
      </c>
    </row>
    <row r="45" spans="1:15" ht="15" customHeight="1" thickBot="1">
      <c r="A45" s="311" t="s">
        <v>727</v>
      </c>
      <c r="B45" s="312"/>
      <c r="C45" s="312"/>
      <c r="D45" s="312"/>
      <c r="E45" s="312"/>
      <c r="F45" s="312"/>
      <c r="G45" s="312"/>
      <c r="H45" s="312"/>
      <c r="I45" s="312"/>
      <c r="J45" s="312"/>
      <c r="K45" s="312"/>
      <c r="L45" s="312"/>
      <c r="M45" s="312"/>
      <c r="N45" s="313"/>
    </row>
    <row r="46" spans="1:15" ht="15" customHeight="1">
      <c r="A46" s="222">
        <v>29</v>
      </c>
      <c r="B46" s="223" t="s">
        <v>89</v>
      </c>
      <c r="C46" s="223" t="s">
        <v>126</v>
      </c>
      <c r="D46" s="223" t="s">
        <v>127</v>
      </c>
      <c r="E46" s="223" t="s">
        <v>60</v>
      </c>
      <c r="F46" s="223">
        <v>134</v>
      </c>
      <c r="G46" s="223" t="s">
        <v>61</v>
      </c>
      <c r="H46" s="223" t="s">
        <v>62</v>
      </c>
      <c r="I46" s="223" t="s">
        <v>62</v>
      </c>
      <c r="J46" s="223" t="s">
        <v>62</v>
      </c>
      <c r="K46" s="223">
        <f>F46</f>
        <v>134</v>
      </c>
      <c r="L46" s="224">
        <f>K44+L44</f>
        <v>32100</v>
      </c>
      <c r="M46" s="225" t="str">
        <f t="shared" ref="M46:M55" si="17">DEC2HEX(L46,4)</f>
        <v>7D64</v>
      </c>
      <c r="N46" s="226" t="s">
        <v>709</v>
      </c>
    </row>
    <row r="47" spans="1:15" ht="15" customHeight="1" thickBot="1">
      <c r="A47" s="227">
        <v>30</v>
      </c>
      <c r="B47" s="228" t="s">
        <v>89</v>
      </c>
      <c r="C47" s="228" t="s">
        <v>128</v>
      </c>
      <c r="D47" s="228" t="s">
        <v>127</v>
      </c>
      <c r="E47" s="228" t="s">
        <v>60</v>
      </c>
      <c r="F47" s="228">
        <v>2</v>
      </c>
      <c r="G47" s="228" t="s">
        <v>61</v>
      </c>
      <c r="H47" s="228" t="s">
        <v>62</v>
      </c>
      <c r="I47" s="228" t="s">
        <v>62</v>
      </c>
      <c r="J47" s="228" t="s">
        <v>62</v>
      </c>
      <c r="K47" s="228">
        <f>F47</f>
        <v>2</v>
      </c>
      <c r="L47" s="229">
        <f>K46+L46</f>
        <v>32234</v>
      </c>
      <c r="M47" s="230" t="str">
        <f t="shared" si="17"/>
        <v>7DEA</v>
      </c>
      <c r="N47" s="231" t="s">
        <v>710</v>
      </c>
    </row>
    <row r="48" spans="1:15" ht="15" customHeight="1" thickBot="1">
      <c r="A48" s="306"/>
      <c r="B48" s="307"/>
      <c r="C48" s="307"/>
      <c r="D48" s="307"/>
      <c r="E48" s="307"/>
      <c r="F48" s="307"/>
      <c r="G48" s="307"/>
      <c r="H48" s="307"/>
      <c r="I48" s="307"/>
      <c r="J48" s="307"/>
      <c r="K48" s="307"/>
      <c r="L48" s="307"/>
      <c r="M48" s="307"/>
      <c r="N48" s="308"/>
    </row>
    <row r="49" spans="1:14" ht="15" customHeight="1" thickBot="1">
      <c r="A49" s="239">
        <v>31</v>
      </c>
      <c r="B49" s="76" t="s">
        <v>124</v>
      </c>
      <c r="C49" s="76"/>
      <c r="D49" s="76"/>
      <c r="E49" s="76"/>
      <c r="F49" s="233">
        <v>20</v>
      </c>
      <c r="G49" s="234" t="s">
        <v>61</v>
      </c>
      <c r="H49" s="234" t="str">
        <f>IF(G49="ECC","Yes","No")</f>
        <v>No</v>
      </c>
      <c r="I49" s="234" t="s">
        <v>62</v>
      </c>
      <c r="J49" s="234" t="s">
        <v>62</v>
      </c>
      <c r="K49" s="234">
        <f>F49*IF(G49="Redundant",2,1)</f>
        <v>20</v>
      </c>
      <c r="L49" s="235">
        <f>K47+L47</f>
        <v>32236</v>
      </c>
      <c r="M49" s="236" t="str">
        <f t="shared" ref="M49" si="18">DEC2HEX(L49,4)</f>
        <v>7DEC</v>
      </c>
      <c r="N49" s="237" t="s">
        <v>719</v>
      </c>
    </row>
    <row r="50" spans="1:14" ht="15" customHeight="1" thickBot="1">
      <c r="A50" s="254"/>
      <c r="B50" s="263"/>
      <c r="C50" s="263"/>
      <c r="D50" s="263"/>
      <c r="E50" s="263"/>
      <c r="F50" s="264"/>
      <c r="G50" s="265"/>
      <c r="H50" s="265"/>
      <c r="I50" s="265"/>
      <c r="J50" s="265"/>
      <c r="K50" s="265"/>
      <c r="L50" s="266"/>
      <c r="M50" s="266"/>
      <c r="N50" s="267"/>
    </row>
    <row r="51" spans="1:14" ht="15" customHeight="1" thickBot="1">
      <c r="A51" s="303" t="s">
        <v>723</v>
      </c>
      <c r="B51" s="304"/>
      <c r="C51" s="304"/>
      <c r="D51" s="304"/>
      <c r="E51" s="304"/>
      <c r="F51" s="304"/>
      <c r="G51" s="304"/>
      <c r="H51" s="304"/>
      <c r="I51" s="304"/>
      <c r="J51" s="304"/>
      <c r="K51" s="304"/>
      <c r="L51" s="304"/>
      <c r="M51" s="304"/>
      <c r="N51" s="305"/>
    </row>
    <row r="52" spans="1:14" ht="15" customHeight="1" thickBot="1">
      <c r="A52" s="240" t="s">
        <v>739</v>
      </c>
      <c r="B52" s="241" t="s">
        <v>740</v>
      </c>
      <c r="C52" s="241"/>
      <c r="D52" s="241"/>
      <c r="E52" s="241"/>
      <c r="F52" s="242">
        <v>492</v>
      </c>
      <c r="G52" s="243" t="s">
        <v>61</v>
      </c>
      <c r="H52" s="243" t="str">
        <f>IF(G52="ECC","Yes","No")</f>
        <v>No</v>
      </c>
      <c r="I52" s="243" t="s">
        <v>62</v>
      </c>
      <c r="J52" s="243" t="s">
        <v>62</v>
      </c>
      <c r="K52" s="243">
        <f>F52*IF(G52="Redundant",2,1)</f>
        <v>492</v>
      </c>
      <c r="L52" s="244">
        <f>K49+L49</f>
        <v>32256</v>
      </c>
      <c r="M52" s="245" t="str">
        <f t="shared" ref="M52" si="19">DEC2HEX(L52,4)</f>
        <v>7E00</v>
      </c>
      <c r="N52" s="246" t="s">
        <v>720</v>
      </c>
    </row>
    <row r="53" spans="1:14" ht="15" customHeight="1" thickBot="1">
      <c r="A53" s="232"/>
      <c r="B53" s="76" t="s">
        <v>124</v>
      </c>
      <c r="C53" s="76"/>
      <c r="D53" s="76"/>
      <c r="E53" s="76"/>
      <c r="F53" s="233">
        <v>20</v>
      </c>
      <c r="G53" s="234" t="s">
        <v>61</v>
      </c>
      <c r="H53" s="234" t="str">
        <f>IF(G53="ECC","Yes","No")</f>
        <v>No</v>
      </c>
      <c r="I53" s="234" t="s">
        <v>62</v>
      </c>
      <c r="J53" s="234" t="s">
        <v>62</v>
      </c>
      <c r="K53" s="234">
        <f>F53*IF(G53="Redundant",2,1)</f>
        <v>20</v>
      </c>
      <c r="L53" s="235">
        <f>K52+L52</f>
        <v>32748</v>
      </c>
      <c r="M53" s="236" t="str">
        <f t="shared" si="17"/>
        <v>7FEC</v>
      </c>
      <c r="N53" s="237" t="s">
        <v>719</v>
      </c>
    </row>
    <row r="54" spans="1:14" ht="15" customHeight="1" thickBot="1">
      <c r="A54" s="300"/>
      <c r="B54" s="301"/>
      <c r="C54" s="301"/>
      <c r="D54" s="301"/>
      <c r="E54" s="301"/>
      <c r="F54" s="301"/>
      <c r="G54" s="301"/>
      <c r="H54" s="301"/>
      <c r="I54" s="301"/>
      <c r="J54" s="301"/>
      <c r="K54" s="301"/>
      <c r="L54" s="301"/>
      <c r="M54" s="301"/>
      <c r="N54" s="302"/>
    </row>
    <row r="55" spans="1:14" ht="15" customHeight="1" thickBot="1">
      <c r="A55" s="268"/>
      <c r="B55" s="269" t="s">
        <v>129</v>
      </c>
      <c r="C55" s="269"/>
      <c r="D55" s="269"/>
      <c r="E55" s="269"/>
      <c r="F55" s="270">
        <f>$C$9*1024</f>
        <v>32768</v>
      </c>
      <c r="G55" s="270"/>
      <c r="H55" s="270"/>
      <c r="I55" s="270"/>
      <c r="J55" s="270"/>
      <c r="K55" s="270">
        <f>SUM(K13:K53)</f>
        <v>1024</v>
      </c>
      <c r="L55" s="271">
        <f>K53+L53</f>
        <v>32768</v>
      </c>
      <c r="M55" s="272" t="str">
        <f t="shared" si="17"/>
        <v>8000</v>
      </c>
      <c r="N55" s="273"/>
    </row>
    <row r="57" spans="1:14">
      <c r="B57" s="75"/>
      <c r="C57" s="75"/>
      <c r="D57" s="75"/>
      <c r="E57" s="75"/>
      <c r="L57" t="s">
        <v>39</v>
      </c>
    </row>
  </sheetData>
  <mergeCells count="18">
    <mergeCell ref="A51:N51"/>
    <mergeCell ref="A54:N54"/>
    <mergeCell ref="A48:N48"/>
    <mergeCell ref="O13:O18"/>
    <mergeCell ref="A45:N45"/>
    <mergeCell ref="O20:O23"/>
    <mergeCell ref="A24:N24"/>
    <mergeCell ref="O25:O34"/>
    <mergeCell ref="A35:N35"/>
    <mergeCell ref="A43:N43"/>
    <mergeCell ref="A19:N19"/>
    <mergeCell ref="O41:O42"/>
    <mergeCell ref="O36:O38"/>
    <mergeCell ref="C3:E3"/>
    <mergeCell ref="C4:E4"/>
    <mergeCell ref="C5:E5"/>
    <mergeCell ref="G10:J10"/>
    <mergeCell ref="A12:N12"/>
  </mergeCells>
  <phoneticPr fontId="37"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zoomScale="70" zoomScaleNormal="70" workbookViewId="0">
      <pane xSplit="7" ySplit="8" topLeftCell="H125" activePane="bottomRight" state="frozenSplit"/>
      <selection pane="topRight" activeCell="G1" sqref="G1"/>
      <selection pane="bottomLeft" activeCell="A8" sqref="A8"/>
      <selection pane="bottomRight" activeCell="G30" sqref="G30"/>
    </sheetView>
  </sheetViews>
  <sheetFormatPr defaultRowHeight="14.4"/>
  <cols>
    <col min="1" max="1" width="11.44140625" customWidth="1"/>
    <col min="2" max="2" width="10.88671875" style="85" customWidth="1"/>
    <col min="3" max="3" width="9.44140625" style="113" customWidth="1"/>
    <col min="4" max="6" width="18.44140625" customWidth="1"/>
    <col min="7" max="7" width="35.77734375" customWidth="1"/>
    <col min="8" max="8" width="65.77734375" customWidth="1"/>
    <col min="9" max="9" width="57.88671875" customWidth="1"/>
    <col min="10" max="10" width="21.44140625" style="43" customWidth="1"/>
    <col min="11" max="11" width="16.44140625" style="43" customWidth="1"/>
    <col min="12" max="12" width="27.109375" customWidth="1"/>
    <col min="13" max="13" width="73.88671875" customWidth="1"/>
  </cols>
  <sheetData>
    <row r="2" spans="1:11">
      <c r="A2" s="185"/>
      <c r="B2" s="180" t="s">
        <v>130</v>
      </c>
      <c r="C2" s="181"/>
    </row>
    <row r="3" spans="1:11">
      <c r="B3" s="182" t="s">
        <v>131</v>
      </c>
      <c r="C3" s="181"/>
    </row>
    <row r="4" spans="1:11">
      <c r="A4" s="183"/>
      <c r="B4" s="182" t="s">
        <v>132</v>
      </c>
      <c r="C4" s="181"/>
    </row>
    <row r="5" spans="1:11">
      <c r="A5" s="183"/>
      <c r="B5" s="182" t="s">
        <v>133</v>
      </c>
      <c r="C5" s="181"/>
      <c r="G5" s="184"/>
    </row>
    <row r="8" spans="1:11" s="154" customFormat="1" ht="48" customHeight="1" thickBot="1">
      <c r="A8" s="151" t="s">
        <v>134</v>
      </c>
      <c r="B8" s="151" t="s">
        <v>135</v>
      </c>
      <c r="C8" s="152" t="s">
        <v>136</v>
      </c>
      <c r="D8" s="151" t="s">
        <v>137</v>
      </c>
      <c r="E8" s="151" t="s">
        <v>138</v>
      </c>
      <c r="F8" s="179" t="s">
        <v>590</v>
      </c>
      <c r="G8" s="151" t="s">
        <v>139</v>
      </c>
      <c r="H8" s="151" t="s">
        <v>140</v>
      </c>
      <c r="I8" s="153" t="s">
        <v>56</v>
      </c>
      <c r="J8" s="151" t="s">
        <v>141</v>
      </c>
      <c r="K8" s="151" t="s">
        <v>142</v>
      </c>
    </row>
    <row r="9" spans="1:11" ht="15" thickBot="1">
      <c r="A9" s="132" t="str">
        <f>Mapping!M46</f>
        <v>7D64</v>
      </c>
      <c r="B9" s="132">
        <v>0</v>
      </c>
      <c r="C9" s="124" t="s">
        <v>145</v>
      </c>
      <c r="D9" s="341" t="s">
        <v>143</v>
      </c>
      <c r="E9" s="344" t="s">
        <v>144</v>
      </c>
      <c r="F9" s="114" t="s">
        <v>591</v>
      </c>
      <c r="G9" s="117" t="s">
        <v>448</v>
      </c>
      <c r="H9" s="116" t="s">
        <v>447</v>
      </c>
      <c r="I9" s="116"/>
      <c r="J9" s="118"/>
      <c r="K9" s="118"/>
    </row>
    <row r="10" spans="1:11" ht="15" thickBot="1">
      <c r="A10" s="132" t="str">
        <f>DEC2HEX(HEX2DEC($A9)+1)</f>
        <v>7D65</v>
      </c>
      <c r="B10" s="132">
        <f>$B9+1</f>
        <v>1</v>
      </c>
      <c r="C10" s="124" t="s">
        <v>145</v>
      </c>
      <c r="D10" s="339"/>
      <c r="E10" s="342"/>
      <c r="F10" s="114">
        <v>55</v>
      </c>
      <c r="G10" s="117" t="s">
        <v>449</v>
      </c>
      <c r="H10" s="116" t="s">
        <v>450</v>
      </c>
      <c r="I10" s="156"/>
      <c r="J10" s="118"/>
      <c r="K10" s="118"/>
    </row>
    <row r="11" spans="1:11" ht="15" thickBot="1">
      <c r="A11" s="132" t="str">
        <f>DEC2HEX(HEX2DEC($A10)+1)</f>
        <v>7D66</v>
      </c>
      <c r="B11" s="132">
        <f>$B10+1</f>
        <v>2</v>
      </c>
      <c r="C11" s="124" t="s">
        <v>145</v>
      </c>
      <c r="D11" s="339"/>
      <c r="E11" s="342"/>
      <c r="F11" s="134" t="s">
        <v>592</v>
      </c>
      <c r="G11" s="117" t="s">
        <v>146</v>
      </c>
      <c r="H11" s="156" t="s">
        <v>147</v>
      </c>
      <c r="I11" s="156"/>
      <c r="J11" s="118"/>
      <c r="K11" s="118"/>
    </row>
    <row r="12" spans="1:11" ht="15" thickBot="1">
      <c r="A12" s="132" t="str">
        <f>DEC2HEX(HEX2DEC($A11)+1)</f>
        <v>7D67</v>
      </c>
      <c r="B12" s="132">
        <f>$B11+1</f>
        <v>3</v>
      </c>
      <c r="C12" s="124" t="s">
        <v>145</v>
      </c>
      <c r="D12" s="339"/>
      <c r="E12" s="342"/>
      <c r="F12" s="114" t="str">
        <f>DEC2HEX(HEX2DEC(A159)-HEX2DEC(A9))</f>
        <v>88</v>
      </c>
      <c r="G12" s="119" t="s">
        <v>148</v>
      </c>
      <c r="H12" s="156" t="str">
        <f>CONCATENATE("Calculated to be ",HEX2DEC(A159)-HEX2DEC(A9))</f>
        <v>Calculated to be 136</v>
      </c>
      <c r="I12" s="156"/>
      <c r="J12" s="118"/>
      <c r="K12" s="118"/>
    </row>
    <row r="13" spans="1:11" ht="42" thickBot="1">
      <c r="A13" s="334" t="str">
        <f>DEC2HEX(HEX2DEC($A12)+1)</f>
        <v>7D68</v>
      </c>
      <c r="B13" s="334">
        <f>B12+1</f>
        <v>4</v>
      </c>
      <c r="C13" s="134" t="s">
        <v>149</v>
      </c>
      <c r="D13" s="342"/>
      <c r="E13" s="345" t="s">
        <v>429</v>
      </c>
      <c r="F13" s="360" t="s">
        <v>593</v>
      </c>
      <c r="G13" s="120" t="s">
        <v>380</v>
      </c>
      <c r="H13" s="157" t="s">
        <v>369</v>
      </c>
      <c r="I13" s="157" t="s">
        <v>150</v>
      </c>
      <c r="J13" s="120" t="s">
        <v>102</v>
      </c>
      <c r="K13" s="120" t="s">
        <v>62</v>
      </c>
    </row>
    <row r="14" spans="1:11" ht="31.8" thickBot="1">
      <c r="A14" s="335"/>
      <c r="B14" s="335"/>
      <c r="C14" s="134" t="s">
        <v>149</v>
      </c>
      <c r="D14" s="342"/>
      <c r="E14" s="346"/>
      <c r="F14" s="361"/>
      <c r="G14" s="247" t="s">
        <v>711</v>
      </c>
      <c r="H14" s="248" t="s">
        <v>713</v>
      </c>
      <c r="I14" s="249" t="s">
        <v>712</v>
      </c>
      <c r="J14" s="118" t="s">
        <v>102</v>
      </c>
      <c r="K14" s="118" t="s">
        <v>62</v>
      </c>
    </row>
    <row r="15" spans="1:11" ht="15" thickBot="1">
      <c r="A15" s="335"/>
      <c r="B15" s="335"/>
      <c r="C15" s="135" t="s">
        <v>149</v>
      </c>
      <c r="D15" s="342"/>
      <c r="E15" s="346"/>
      <c r="F15" s="361"/>
      <c r="G15" s="118" t="s">
        <v>364</v>
      </c>
      <c r="H15" s="156" t="s">
        <v>124</v>
      </c>
      <c r="I15" s="156" t="s">
        <v>367</v>
      </c>
      <c r="J15" s="118" t="s">
        <v>102</v>
      </c>
      <c r="K15" s="118" t="s">
        <v>62</v>
      </c>
    </row>
    <row r="16" spans="1:11" ht="55.8" thickBot="1">
      <c r="A16" s="335"/>
      <c r="B16" s="335"/>
      <c r="C16" s="124" t="s">
        <v>151</v>
      </c>
      <c r="D16" s="342"/>
      <c r="E16" s="346"/>
      <c r="F16" s="361"/>
      <c r="G16" s="118" t="s">
        <v>152</v>
      </c>
      <c r="H16" s="116" t="s">
        <v>397</v>
      </c>
      <c r="I16" s="116" t="s">
        <v>398</v>
      </c>
      <c r="J16" s="118" t="s">
        <v>102</v>
      </c>
      <c r="K16" s="118" t="s">
        <v>62</v>
      </c>
    </row>
    <row r="17" spans="1:11" ht="28.2" thickBot="1">
      <c r="A17" s="335"/>
      <c r="B17" s="335"/>
      <c r="C17" s="124" t="s">
        <v>149</v>
      </c>
      <c r="D17" s="342"/>
      <c r="E17" s="346"/>
      <c r="F17" s="361"/>
      <c r="G17" s="120" t="s">
        <v>153</v>
      </c>
      <c r="H17" s="163" t="s">
        <v>154</v>
      </c>
      <c r="I17" s="125" t="s">
        <v>155</v>
      </c>
      <c r="J17" s="118" t="s">
        <v>102</v>
      </c>
      <c r="K17" s="118" t="s">
        <v>62</v>
      </c>
    </row>
    <row r="18" spans="1:11" ht="28.2" thickBot="1">
      <c r="A18" s="335"/>
      <c r="B18" s="335"/>
      <c r="C18" s="124" t="s">
        <v>149</v>
      </c>
      <c r="D18" s="342"/>
      <c r="E18" s="346"/>
      <c r="F18" s="361"/>
      <c r="G18" s="169" t="s">
        <v>427</v>
      </c>
      <c r="H18" s="155" t="s">
        <v>428</v>
      </c>
      <c r="I18" s="125"/>
      <c r="J18" s="118" t="s">
        <v>102</v>
      </c>
      <c r="K18" s="118" t="s">
        <v>62</v>
      </c>
    </row>
    <row r="19" spans="1:11" ht="15" thickBot="1">
      <c r="A19" s="338"/>
      <c r="B19" s="338"/>
      <c r="C19" s="124" t="s">
        <v>149</v>
      </c>
      <c r="D19" s="342"/>
      <c r="E19" s="347"/>
      <c r="F19" s="362"/>
      <c r="G19" s="118" t="s">
        <v>159</v>
      </c>
      <c r="H19" s="116" t="s">
        <v>160</v>
      </c>
      <c r="I19" s="116" t="s">
        <v>161</v>
      </c>
      <c r="J19" s="118" t="s">
        <v>102</v>
      </c>
      <c r="K19" s="118" t="s">
        <v>62</v>
      </c>
    </row>
    <row r="20" spans="1:11" ht="15" thickBot="1">
      <c r="A20" s="329" t="str">
        <f>DEC2HEX(HEX2DEC($A13)+1)</f>
        <v>7D69</v>
      </c>
      <c r="B20" s="329">
        <f>$B13+1</f>
        <v>5</v>
      </c>
      <c r="C20" s="130" t="s">
        <v>158</v>
      </c>
      <c r="D20" s="339"/>
      <c r="E20" s="339" t="s">
        <v>430</v>
      </c>
      <c r="F20" s="360" t="s">
        <v>593</v>
      </c>
      <c r="G20" s="118" t="s">
        <v>387</v>
      </c>
      <c r="H20" s="127" t="s">
        <v>365</v>
      </c>
      <c r="I20" s="116" t="s">
        <v>157</v>
      </c>
      <c r="J20" s="118" t="s">
        <v>102</v>
      </c>
      <c r="K20" s="118" t="s">
        <v>62</v>
      </c>
    </row>
    <row r="21" spans="1:11" ht="28.2" thickBot="1">
      <c r="A21" s="329"/>
      <c r="B21" s="329"/>
      <c r="C21" s="130" t="s">
        <v>149</v>
      </c>
      <c r="D21" s="339"/>
      <c r="E21" s="340"/>
      <c r="F21" s="362"/>
      <c r="G21" s="121" t="s">
        <v>162</v>
      </c>
      <c r="H21" s="164" t="s">
        <v>399</v>
      </c>
      <c r="I21" s="165" t="s">
        <v>157</v>
      </c>
      <c r="J21" s="121" t="s">
        <v>102</v>
      </c>
      <c r="K21" s="121" t="s">
        <v>62</v>
      </c>
    </row>
    <row r="22" spans="1:11" ht="15" thickBot="1">
      <c r="A22" s="171" t="str">
        <f>DEC2HEX(HEX2DEC($A20)+1)</f>
        <v>7D6A</v>
      </c>
      <c r="B22" s="171">
        <f>$B20+1</f>
        <v>6</v>
      </c>
      <c r="C22" s="130" t="s">
        <v>145</v>
      </c>
      <c r="D22" s="339"/>
      <c r="E22" s="167" t="s">
        <v>431</v>
      </c>
      <c r="F22" s="187" t="s">
        <v>593</v>
      </c>
      <c r="G22" s="120" t="s">
        <v>381</v>
      </c>
      <c r="H22" s="163" t="s">
        <v>163</v>
      </c>
      <c r="I22" s="125" t="s">
        <v>368</v>
      </c>
      <c r="J22" s="136" t="s">
        <v>102</v>
      </c>
      <c r="K22" s="137" t="s">
        <v>62</v>
      </c>
    </row>
    <row r="23" spans="1:11" ht="55.5" customHeight="1" thickBot="1">
      <c r="A23" s="334" t="str">
        <f>DEC2HEX(HEX2DEC($A22)+1)</f>
        <v>7D6B</v>
      </c>
      <c r="B23" s="334">
        <f>$B22+1</f>
        <v>7</v>
      </c>
      <c r="C23" s="130" t="s">
        <v>156</v>
      </c>
      <c r="D23" s="342"/>
      <c r="E23" s="345" t="s">
        <v>432</v>
      </c>
      <c r="F23" s="360" t="s">
        <v>593</v>
      </c>
      <c r="G23" s="247" t="s">
        <v>714</v>
      </c>
      <c r="H23" s="248" t="s">
        <v>715</v>
      </c>
      <c r="I23" s="249" t="s">
        <v>721</v>
      </c>
      <c r="J23" s="120" t="s">
        <v>102</v>
      </c>
      <c r="K23" s="120" t="s">
        <v>62</v>
      </c>
    </row>
    <row r="24" spans="1:11" ht="69.599999999999994" thickBot="1">
      <c r="A24" s="335"/>
      <c r="B24" s="335"/>
      <c r="C24" s="124" t="s">
        <v>382</v>
      </c>
      <c r="D24" s="342"/>
      <c r="E24" s="347"/>
      <c r="F24" s="362"/>
      <c r="G24" s="118" t="s">
        <v>389</v>
      </c>
      <c r="H24" s="116" t="s">
        <v>384</v>
      </c>
      <c r="I24" s="115" t="s">
        <v>164</v>
      </c>
      <c r="J24" s="118" t="s">
        <v>102</v>
      </c>
      <c r="K24" s="118" t="s">
        <v>62</v>
      </c>
    </row>
    <row r="25" spans="1:11" ht="132" customHeight="1" thickBot="1">
      <c r="A25" s="334" t="str">
        <f>DEC2HEX(HEX2DEC($A23)+1)</f>
        <v>7D6C</v>
      </c>
      <c r="B25" s="334">
        <f>$B23+1</f>
        <v>8</v>
      </c>
      <c r="C25" s="130" t="s">
        <v>156</v>
      </c>
      <c r="D25" s="339"/>
      <c r="E25" s="348" t="s">
        <v>433</v>
      </c>
      <c r="F25" s="363" t="s">
        <v>592</v>
      </c>
      <c r="G25" s="112" t="s">
        <v>166</v>
      </c>
      <c r="H25" s="158" t="s">
        <v>370</v>
      </c>
      <c r="I25" s="157" t="s">
        <v>164</v>
      </c>
      <c r="J25" s="120" t="s">
        <v>102</v>
      </c>
      <c r="K25" s="120" t="s">
        <v>62</v>
      </c>
    </row>
    <row r="26" spans="1:11" s="126" customFormat="1" ht="69.599999999999994" thickBot="1">
      <c r="A26" s="338"/>
      <c r="B26" s="338"/>
      <c r="C26" s="131" t="s">
        <v>151</v>
      </c>
      <c r="D26" s="339"/>
      <c r="E26" s="349"/>
      <c r="F26" s="364"/>
      <c r="G26" s="132" t="s">
        <v>167</v>
      </c>
      <c r="H26" s="138" t="s">
        <v>400</v>
      </c>
      <c r="I26" s="116" t="s">
        <v>168</v>
      </c>
      <c r="J26" s="118"/>
      <c r="K26" s="118"/>
    </row>
    <row r="27" spans="1:11" ht="15" thickBot="1">
      <c r="A27" s="330" t="str">
        <f>DEC2HEX(HEX2DEC($A25)+1)</f>
        <v>7D6D</v>
      </c>
      <c r="B27" s="330">
        <f>$B25+1</f>
        <v>9</v>
      </c>
      <c r="C27" s="131" t="s">
        <v>149</v>
      </c>
      <c r="D27" s="339"/>
      <c r="E27" s="348" t="s">
        <v>434</v>
      </c>
      <c r="F27" s="363" t="s">
        <v>594</v>
      </c>
      <c r="G27" s="132" t="s">
        <v>376</v>
      </c>
      <c r="H27" s="116" t="s">
        <v>169</v>
      </c>
      <c r="I27" s="116"/>
      <c r="J27" s="118"/>
      <c r="K27" s="118"/>
    </row>
    <row r="28" spans="1:11" ht="15" thickBot="1">
      <c r="A28" s="331"/>
      <c r="B28" s="331"/>
      <c r="C28" s="131" t="s">
        <v>149</v>
      </c>
      <c r="D28" s="339"/>
      <c r="E28" s="350"/>
      <c r="F28" s="365"/>
      <c r="G28" s="132" t="s">
        <v>170</v>
      </c>
      <c r="H28" s="116" t="s">
        <v>171</v>
      </c>
      <c r="I28" s="116" t="s">
        <v>383</v>
      </c>
      <c r="J28" s="118"/>
      <c r="K28" s="118"/>
    </row>
    <row r="29" spans="1:11" ht="15" thickBot="1">
      <c r="A29" s="332"/>
      <c r="B29" s="332"/>
      <c r="C29" s="131" t="s">
        <v>149</v>
      </c>
      <c r="D29" s="339"/>
      <c r="E29" s="350"/>
      <c r="F29" s="365"/>
      <c r="G29" s="132" t="s">
        <v>173</v>
      </c>
      <c r="H29" s="116" t="s">
        <v>174</v>
      </c>
      <c r="I29" s="116" t="s">
        <v>371</v>
      </c>
      <c r="J29" s="118"/>
      <c r="K29" s="118"/>
    </row>
    <row r="30" spans="1:11" ht="55.8" thickBot="1">
      <c r="A30" s="332"/>
      <c r="B30" s="332"/>
      <c r="C30" s="131" t="s">
        <v>149</v>
      </c>
      <c r="D30" s="339"/>
      <c r="E30" s="350"/>
      <c r="F30" s="365"/>
      <c r="G30" s="132" t="s">
        <v>175</v>
      </c>
      <c r="H30" s="116" t="s">
        <v>176</v>
      </c>
      <c r="I30" s="116" t="s">
        <v>372</v>
      </c>
      <c r="J30" s="118"/>
      <c r="K30" s="118"/>
    </row>
    <row r="31" spans="1:11" ht="28.2" thickBot="1">
      <c r="A31" s="332"/>
      <c r="B31" s="332"/>
      <c r="C31" s="131" t="s">
        <v>151</v>
      </c>
      <c r="D31" s="339"/>
      <c r="E31" s="350"/>
      <c r="F31" s="365"/>
      <c r="G31" s="132" t="s">
        <v>177</v>
      </c>
      <c r="H31" s="116" t="s">
        <v>401</v>
      </c>
      <c r="I31" s="116" t="s">
        <v>388</v>
      </c>
      <c r="J31" s="118"/>
      <c r="K31" s="118"/>
    </row>
    <row r="32" spans="1:11" ht="28.2" thickBot="1">
      <c r="A32" s="333"/>
      <c r="B32" s="333"/>
      <c r="C32" s="131" t="s">
        <v>178</v>
      </c>
      <c r="D32" s="339"/>
      <c r="E32" s="349"/>
      <c r="F32" s="364"/>
      <c r="G32" s="148" t="s">
        <v>179</v>
      </c>
      <c r="H32" s="141" t="s">
        <v>180</v>
      </c>
      <c r="I32" s="116" t="s">
        <v>373</v>
      </c>
      <c r="J32" s="118"/>
      <c r="K32" s="118"/>
    </row>
    <row r="33" spans="1:11" ht="138.6" thickBot="1">
      <c r="A33" s="172" t="str">
        <f>DEC2HEX(HEX2DEC($A27)+1)</f>
        <v>7D6E</v>
      </c>
      <c r="B33" s="174">
        <f>$B27+1</f>
        <v>10</v>
      </c>
      <c r="C33" s="124" t="s">
        <v>145</v>
      </c>
      <c r="D33" s="339"/>
      <c r="E33" s="129" t="s">
        <v>435</v>
      </c>
      <c r="F33" s="134" t="s">
        <v>595</v>
      </c>
      <c r="G33" s="114" t="s">
        <v>392</v>
      </c>
      <c r="H33" s="159" t="s">
        <v>421</v>
      </c>
      <c r="I33" s="127" t="s">
        <v>422</v>
      </c>
      <c r="J33" s="118"/>
      <c r="K33" s="118"/>
    </row>
    <row r="34" spans="1:11" ht="55.8" thickBot="1">
      <c r="A34" s="173" t="str">
        <f>DEC2HEX(HEX2DEC($A33)+1)</f>
        <v>7D6F</v>
      </c>
      <c r="B34" s="174">
        <f t="shared" ref="B34:B41" si="0">$B33+1</f>
        <v>11</v>
      </c>
      <c r="C34" s="124" t="s">
        <v>145</v>
      </c>
      <c r="D34" s="339"/>
      <c r="E34" s="129" t="s">
        <v>436</v>
      </c>
      <c r="F34" s="134" t="s">
        <v>593</v>
      </c>
      <c r="G34" s="114" t="s">
        <v>181</v>
      </c>
      <c r="H34" s="115" t="s">
        <v>182</v>
      </c>
      <c r="I34" s="116" t="s">
        <v>402</v>
      </c>
      <c r="J34" s="118"/>
      <c r="K34" s="118"/>
    </row>
    <row r="35" spans="1:11" ht="55.8" thickBot="1">
      <c r="A35" s="173" t="str">
        <f>DEC2HEX(HEX2DEC($A34)+1)</f>
        <v>7D70</v>
      </c>
      <c r="B35" s="174">
        <f t="shared" si="0"/>
        <v>12</v>
      </c>
      <c r="C35" s="124" t="s">
        <v>145</v>
      </c>
      <c r="D35" s="339"/>
      <c r="E35" s="129" t="s">
        <v>437</v>
      </c>
      <c r="F35" s="134" t="s">
        <v>593</v>
      </c>
      <c r="G35" s="114" t="s">
        <v>377</v>
      </c>
      <c r="H35" s="115" t="s">
        <v>184</v>
      </c>
      <c r="I35" s="116" t="s">
        <v>183</v>
      </c>
      <c r="J35" s="118"/>
      <c r="K35" s="118"/>
    </row>
    <row r="36" spans="1:11" ht="55.8" thickBot="1">
      <c r="A36" s="173" t="str">
        <f>DEC2HEX(HEX2DEC($A35)+1)</f>
        <v>7D71</v>
      </c>
      <c r="B36" s="174">
        <f t="shared" si="0"/>
        <v>13</v>
      </c>
      <c r="C36" s="124" t="s">
        <v>145</v>
      </c>
      <c r="D36" s="339"/>
      <c r="E36" s="129" t="s">
        <v>438</v>
      </c>
      <c r="F36" s="134" t="s">
        <v>593</v>
      </c>
      <c r="G36" s="114" t="s">
        <v>185</v>
      </c>
      <c r="H36" s="115" t="s">
        <v>186</v>
      </c>
      <c r="I36" s="116" t="s">
        <v>183</v>
      </c>
      <c r="J36" s="118"/>
      <c r="K36" s="118"/>
    </row>
    <row r="37" spans="1:11" ht="15" thickBot="1">
      <c r="A37" s="173" t="str">
        <f t="shared" ref="A37:A100" si="1">DEC2HEX(HEX2DEC($A36)+1)</f>
        <v>7D72</v>
      </c>
      <c r="B37" s="174">
        <f t="shared" si="0"/>
        <v>14</v>
      </c>
      <c r="C37" s="124" t="s">
        <v>145</v>
      </c>
      <c r="D37" s="339"/>
      <c r="E37" s="129" t="s">
        <v>439</v>
      </c>
      <c r="F37" s="134" t="s">
        <v>593</v>
      </c>
      <c r="G37" s="114" t="s">
        <v>443</v>
      </c>
      <c r="H37" s="115" t="s">
        <v>187</v>
      </c>
      <c r="I37" s="116"/>
      <c r="J37" s="118"/>
      <c r="K37" s="118"/>
    </row>
    <row r="38" spans="1:11" ht="15" thickBot="1">
      <c r="A38" s="173" t="str">
        <f t="shared" si="1"/>
        <v>7D73</v>
      </c>
      <c r="B38" s="174">
        <f t="shared" si="0"/>
        <v>15</v>
      </c>
      <c r="C38" s="124" t="s">
        <v>145</v>
      </c>
      <c r="D38" s="339"/>
      <c r="E38" s="129" t="s">
        <v>440</v>
      </c>
      <c r="F38" s="134" t="s">
        <v>593</v>
      </c>
      <c r="G38" s="114" t="s">
        <v>444</v>
      </c>
      <c r="H38" s="115" t="s">
        <v>187</v>
      </c>
      <c r="I38" s="116"/>
      <c r="J38" s="118"/>
      <c r="K38" s="118"/>
    </row>
    <row r="39" spans="1:11" ht="15" thickBot="1">
      <c r="A39" s="173" t="str">
        <f t="shared" si="1"/>
        <v>7D74</v>
      </c>
      <c r="B39" s="174">
        <f t="shared" si="0"/>
        <v>16</v>
      </c>
      <c r="C39" s="124" t="s">
        <v>145</v>
      </c>
      <c r="D39" s="339"/>
      <c r="E39" s="129" t="s">
        <v>441</v>
      </c>
      <c r="F39" s="134" t="s">
        <v>593</v>
      </c>
      <c r="G39" s="114" t="s">
        <v>445</v>
      </c>
      <c r="H39" s="115" t="s">
        <v>187</v>
      </c>
      <c r="I39" s="116"/>
      <c r="J39" s="118"/>
      <c r="K39" s="118"/>
    </row>
    <row r="40" spans="1:11" ht="15" thickBot="1">
      <c r="A40" s="173" t="str">
        <f t="shared" si="1"/>
        <v>7D75</v>
      </c>
      <c r="B40" s="174">
        <f t="shared" si="0"/>
        <v>17</v>
      </c>
      <c r="C40" s="124" t="s">
        <v>145</v>
      </c>
      <c r="D40" s="339"/>
      <c r="E40" s="129" t="s">
        <v>442</v>
      </c>
      <c r="F40" s="134" t="s">
        <v>593</v>
      </c>
      <c r="G40" s="114" t="s">
        <v>446</v>
      </c>
      <c r="H40" s="115" t="s">
        <v>187</v>
      </c>
      <c r="I40" s="116"/>
      <c r="J40" s="118"/>
      <c r="K40" s="118"/>
    </row>
    <row r="41" spans="1:11" ht="115.5" customHeight="1" thickBot="1">
      <c r="A41" s="173" t="str">
        <f t="shared" si="1"/>
        <v>7D76</v>
      </c>
      <c r="B41" s="174">
        <f t="shared" si="0"/>
        <v>18</v>
      </c>
      <c r="C41" s="124" t="s">
        <v>145</v>
      </c>
      <c r="D41" s="339"/>
      <c r="E41" s="129" t="s">
        <v>452</v>
      </c>
      <c r="F41" s="134" t="s">
        <v>596</v>
      </c>
      <c r="G41" s="341" t="s">
        <v>188</v>
      </c>
      <c r="H41" s="351" t="s">
        <v>189</v>
      </c>
      <c r="I41" s="341" t="s">
        <v>403</v>
      </c>
      <c r="J41" s="118"/>
      <c r="K41" s="118"/>
    </row>
    <row r="42" spans="1:11" ht="115.5" customHeight="1" thickBot="1">
      <c r="A42" s="173" t="str">
        <f t="shared" si="1"/>
        <v>7D77</v>
      </c>
      <c r="B42" s="174">
        <f t="shared" ref="B42:B68" si="2">$B41+1</f>
        <v>19</v>
      </c>
      <c r="C42" s="124" t="s">
        <v>145</v>
      </c>
      <c r="D42" s="339"/>
      <c r="E42" s="129" t="s">
        <v>451</v>
      </c>
      <c r="F42" s="134" t="s">
        <v>597</v>
      </c>
      <c r="G42" s="340"/>
      <c r="H42" s="352"/>
      <c r="I42" s="340"/>
      <c r="J42" s="118"/>
      <c r="K42" s="118"/>
    </row>
    <row r="43" spans="1:11" ht="77.25" customHeight="1" thickBot="1">
      <c r="A43" s="173" t="str">
        <f t="shared" si="1"/>
        <v>7D78</v>
      </c>
      <c r="B43" s="174">
        <f t="shared" si="2"/>
        <v>20</v>
      </c>
      <c r="C43" s="124" t="s">
        <v>145</v>
      </c>
      <c r="D43" s="339"/>
      <c r="E43" s="129" t="s">
        <v>453</v>
      </c>
      <c r="F43" s="134" t="s">
        <v>598</v>
      </c>
      <c r="G43" s="341" t="s">
        <v>191</v>
      </c>
      <c r="H43" s="351" t="s">
        <v>192</v>
      </c>
      <c r="I43" s="341" t="s">
        <v>404</v>
      </c>
      <c r="J43" s="118"/>
      <c r="K43" s="118"/>
    </row>
    <row r="44" spans="1:11" ht="15" thickBot="1">
      <c r="A44" s="173" t="str">
        <f t="shared" si="1"/>
        <v>7D79</v>
      </c>
      <c r="B44" s="174">
        <f t="shared" si="2"/>
        <v>21</v>
      </c>
      <c r="C44" s="124" t="s">
        <v>145</v>
      </c>
      <c r="D44" s="339"/>
      <c r="E44" s="129" t="s">
        <v>454</v>
      </c>
      <c r="F44" s="134" t="s">
        <v>599</v>
      </c>
      <c r="G44" s="340"/>
      <c r="H44" s="352"/>
      <c r="I44" s="340"/>
      <c r="J44" s="118"/>
      <c r="K44" s="118"/>
    </row>
    <row r="45" spans="1:11" ht="26.25" customHeight="1" thickBot="1">
      <c r="A45" s="173" t="str">
        <f t="shared" si="1"/>
        <v>7D7A</v>
      </c>
      <c r="B45" s="174">
        <f t="shared" si="2"/>
        <v>22</v>
      </c>
      <c r="C45" s="124" t="s">
        <v>145</v>
      </c>
      <c r="D45" s="339"/>
      <c r="E45" s="129" t="s">
        <v>455</v>
      </c>
      <c r="F45" s="134" t="s">
        <v>600</v>
      </c>
      <c r="G45" s="341" t="s">
        <v>193</v>
      </c>
      <c r="H45" s="351" t="s">
        <v>194</v>
      </c>
      <c r="I45" s="341" t="s">
        <v>190</v>
      </c>
      <c r="J45" s="118"/>
      <c r="K45" s="118"/>
    </row>
    <row r="46" spans="1:11" ht="15" thickBot="1">
      <c r="A46" s="173" t="str">
        <f t="shared" si="1"/>
        <v>7D7B</v>
      </c>
      <c r="B46" s="174">
        <f t="shared" si="2"/>
        <v>23</v>
      </c>
      <c r="C46" s="124" t="s">
        <v>145</v>
      </c>
      <c r="D46" s="339"/>
      <c r="E46" s="129" t="s">
        <v>456</v>
      </c>
      <c r="F46" s="134" t="s">
        <v>593</v>
      </c>
      <c r="G46" s="340"/>
      <c r="H46" s="352"/>
      <c r="I46" s="340"/>
      <c r="J46" s="118"/>
      <c r="K46" s="118"/>
    </row>
    <row r="47" spans="1:11" ht="26.25" customHeight="1" thickBot="1">
      <c r="A47" s="173" t="str">
        <f t="shared" si="1"/>
        <v>7D7C</v>
      </c>
      <c r="B47" s="174">
        <f t="shared" si="2"/>
        <v>24</v>
      </c>
      <c r="C47" s="124" t="s">
        <v>145</v>
      </c>
      <c r="D47" s="339"/>
      <c r="E47" s="129" t="s">
        <v>457</v>
      </c>
      <c r="F47" s="134" t="s">
        <v>601</v>
      </c>
      <c r="G47" s="341" t="s">
        <v>195</v>
      </c>
      <c r="H47" s="351" t="s">
        <v>196</v>
      </c>
      <c r="I47" s="341" t="s">
        <v>190</v>
      </c>
      <c r="J47" s="118"/>
      <c r="K47" s="118"/>
    </row>
    <row r="48" spans="1:11" ht="15" thickBot="1">
      <c r="A48" s="173" t="str">
        <f t="shared" si="1"/>
        <v>7D7D</v>
      </c>
      <c r="B48" s="174">
        <f t="shared" si="2"/>
        <v>25</v>
      </c>
      <c r="C48" s="124" t="s">
        <v>145</v>
      </c>
      <c r="D48" s="339"/>
      <c r="E48" s="129" t="s">
        <v>458</v>
      </c>
      <c r="F48" s="134" t="s">
        <v>602</v>
      </c>
      <c r="G48" s="340"/>
      <c r="H48" s="352"/>
      <c r="I48" s="340"/>
      <c r="J48" s="118"/>
      <c r="K48" s="118"/>
    </row>
    <row r="49" spans="1:11" ht="51.75" customHeight="1" thickBot="1">
      <c r="A49" s="173" t="str">
        <f t="shared" si="1"/>
        <v>7D7E</v>
      </c>
      <c r="B49" s="174">
        <f t="shared" si="2"/>
        <v>26</v>
      </c>
      <c r="C49" s="124" t="s">
        <v>145</v>
      </c>
      <c r="D49" s="339"/>
      <c r="E49" s="129" t="s">
        <v>459</v>
      </c>
      <c r="F49" s="134" t="s">
        <v>603</v>
      </c>
      <c r="G49" s="341" t="s">
        <v>197</v>
      </c>
      <c r="H49" s="351" t="s">
        <v>198</v>
      </c>
      <c r="I49" s="341" t="s">
        <v>405</v>
      </c>
      <c r="J49" s="118"/>
      <c r="K49" s="118"/>
    </row>
    <row r="50" spans="1:11" ht="15" thickBot="1">
      <c r="A50" s="173" t="str">
        <f t="shared" si="1"/>
        <v>7D7F</v>
      </c>
      <c r="B50" s="174">
        <f t="shared" si="2"/>
        <v>27</v>
      </c>
      <c r="C50" s="124" t="s">
        <v>145</v>
      </c>
      <c r="D50" s="339"/>
      <c r="E50" s="129" t="s">
        <v>460</v>
      </c>
      <c r="F50" s="134" t="s">
        <v>593</v>
      </c>
      <c r="G50" s="340"/>
      <c r="H50" s="352"/>
      <c r="I50" s="340"/>
      <c r="J50" s="118"/>
      <c r="K50" s="118"/>
    </row>
    <row r="51" spans="1:11" ht="26.25" customHeight="1" thickBot="1">
      <c r="A51" s="173" t="str">
        <f t="shared" si="1"/>
        <v>7D80</v>
      </c>
      <c r="B51" s="174">
        <f t="shared" si="2"/>
        <v>28</v>
      </c>
      <c r="C51" s="124" t="s">
        <v>145</v>
      </c>
      <c r="D51" s="339"/>
      <c r="E51" s="129" t="s">
        <v>461</v>
      </c>
      <c r="F51" s="134" t="s">
        <v>604</v>
      </c>
      <c r="G51" s="341" t="s">
        <v>199</v>
      </c>
      <c r="H51" s="351" t="s">
        <v>200</v>
      </c>
      <c r="I51" s="341" t="s">
        <v>190</v>
      </c>
      <c r="J51" s="118"/>
      <c r="K51" s="118"/>
    </row>
    <row r="52" spans="1:11" ht="15" thickBot="1">
      <c r="A52" s="173" t="str">
        <f t="shared" si="1"/>
        <v>7D81</v>
      </c>
      <c r="B52" s="174">
        <f t="shared" si="2"/>
        <v>29</v>
      </c>
      <c r="C52" s="124" t="s">
        <v>145</v>
      </c>
      <c r="D52" s="339"/>
      <c r="E52" s="129" t="s">
        <v>462</v>
      </c>
      <c r="F52" s="134" t="s">
        <v>605</v>
      </c>
      <c r="G52" s="340"/>
      <c r="H52" s="352"/>
      <c r="I52" s="340"/>
      <c r="J52" s="118"/>
      <c r="K52" s="118"/>
    </row>
    <row r="53" spans="1:11" ht="26.25" customHeight="1" thickBot="1">
      <c r="A53" s="173" t="str">
        <f t="shared" si="1"/>
        <v>7D82</v>
      </c>
      <c r="B53" s="174">
        <f t="shared" si="2"/>
        <v>30</v>
      </c>
      <c r="C53" s="124" t="s">
        <v>145</v>
      </c>
      <c r="D53" s="339"/>
      <c r="E53" s="129" t="s">
        <v>463</v>
      </c>
      <c r="F53" s="134" t="s">
        <v>606</v>
      </c>
      <c r="G53" s="341" t="s">
        <v>201</v>
      </c>
      <c r="H53" s="351" t="s">
        <v>202</v>
      </c>
      <c r="I53" s="341" t="s">
        <v>190</v>
      </c>
      <c r="J53" s="118"/>
      <c r="K53" s="118"/>
    </row>
    <row r="54" spans="1:11" ht="15" thickBot="1">
      <c r="A54" s="173" t="str">
        <f t="shared" si="1"/>
        <v>7D83</v>
      </c>
      <c r="B54" s="174">
        <f t="shared" si="2"/>
        <v>31</v>
      </c>
      <c r="C54" s="124" t="s">
        <v>145</v>
      </c>
      <c r="D54" s="339"/>
      <c r="E54" s="129" t="s">
        <v>464</v>
      </c>
      <c r="F54" s="134" t="s">
        <v>593</v>
      </c>
      <c r="G54" s="340"/>
      <c r="H54" s="352"/>
      <c r="I54" s="340"/>
      <c r="J54" s="118"/>
      <c r="K54" s="118"/>
    </row>
    <row r="55" spans="1:11" ht="26.25" customHeight="1" thickBot="1">
      <c r="A55" s="173" t="str">
        <f t="shared" si="1"/>
        <v>7D84</v>
      </c>
      <c r="B55" s="174">
        <f t="shared" si="2"/>
        <v>32</v>
      </c>
      <c r="C55" s="124" t="s">
        <v>145</v>
      </c>
      <c r="D55" s="339"/>
      <c r="E55" s="129" t="s">
        <v>465</v>
      </c>
      <c r="F55" s="134" t="s">
        <v>607</v>
      </c>
      <c r="G55" s="341" t="s">
        <v>203</v>
      </c>
      <c r="H55" s="351" t="s">
        <v>204</v>
      </c>
      <c r="I55" s="341" t="s">
        <v>190</v>
      </c>
      <c r="J55" s="118"/>
      <c r="K55" s="118"/>
    </row>
    <row r="56" spans="1:11" ht="15" thickBot="1">
      <c r="A56" s="173" t="str">
        <f t="shared" si="1"/>
        <v>7D85</v>
      </c>
      <c r="B56" s="174">
        <f t="shared" si="2"/>
        <v>33</v>
      </c>
      <c r="C56" s="124" t="s">
        <v>145</v>
      </c>
      <c r="D56" s="339"/>
      <c r="E56" s="129" t="s">
        <v>466</v>
      </c>
      <c r="F56" s="134" t="s">
        <v>605</v>
      </c>
      <c r="G56" s="340"/>
      <c r="H56" s="352"/>
      <c r="I56" s="340"/>
      <c r="J56" s="118"/>
      <c r="K56" s="118"/>
    </row>
    <row r="57" spans="1:11" ht="51.75" customHeight="1" thickBot="1">
      <c r="A57" s="173" t="str">
        <f t="shared" si="1"/>
        <v>7D86</v>
      </c>
      <c r="B57" s="174">
        <f t="shared" si="2"/>
        <v>34</v>
      </c>
      <c r="C57" s="124" t="s">
        <v>145</v>
      </c>
      <c r="D57" s="339"/>
      <c r="E57" s="129" t="s">
        <v>467</v>
      </c>
      <c r="F57" s="134" t="s">
        <v>597</v>
      </c>
      <c r="G57" s="341" t="s">
        <v>205</v>
      </c>
      <c r="H57" s="351" t="s">
        <v>206</v>
      </c>
      <c r="I57" s="341" t="s">
        <v>406</v>
      </c>
      <c r="J57" s="118"/>
      <c r="K57" s="118"/>
    </row>
    <row r="58" spans="1:11" ht="15" thickBot="1">
      <c r="A58" s="173" t="str">
        <f t="shared" si="1"/>
        <v>7D87</v>
      </c>
      <c r="B58" s="174">
        <f t="shared" si="2"/>
        <v>35</v>
      </c>
      <c r="C58" s="124" t="s">
        <v>145</v>
      </c>
      <c r="D58" s="339"/>
      <c r="E58" s="129" t="s">
        <v>468</v>
      </c>
      <c r="F58" s="134" t="s">
        <v>593</v>
      </c>
      <c r="G58" s="340"/>
      <c r="H58" s="352"/>
      <c r="I58" s="340"/>
      <c r="J58" s="118"/>
      <c r="K58" s="118"/>
    </row>
    <row r="59" spans="1:11" ht="69.599999999999994" thickBot="1">
      <c r="A59" s="173" t="str">
        <f t="shared" si="1"/>
        <v>7D88</v>
      </c>
      <c r="B59" s="174">
        <f t="shared" si="2"/>
        <v>36</v>
      </c>
      <c r="C59" s="124" t="s">
        <v>145</v>
      </c>
      <c r="D59" s="339"/>
      <c r="E59" s="168" t="s">
        <v>499</v>
      </c>
      <c r="F59" s="134" t="s">
        <v>608</v>
      </c>
      <c r="G59" s="114" t="s">
        <v>378</v>
      </c>
      <c r="H59" s="170" t="s">
        <v>207</v>
      </c>
      <c r="I59" s="116" t="s">
        <v>183</v>
      </c>
      <c r="J59" s="118"/>
      <c r="K59" s="118"/>
    </row>
    <row r="60" spans="1:11" ht="97.2" thickBot="1">
      <c r="A60" s="173" t="str">
        <f t="shared" si="1"/>
        <v>7D89</v>
      </c>
      <c r="B60" s="174">
        <f t="shared" si="2"/>
        <v>37</v>
      </c>
      <c r="C60" s="124" t="s">
        <v>145</v>
      </c>
      <c r="D60" s="339"/>
      <c r="E60" s="168" t="s">
        <v>500</v>
      </c>
      <c r="F60" s="134" t="s">
        <v>609</v>
      </c>
      <c r="G60" s="114" t="s">
        <v>208</v>
      </c>
      <c r="H60" s="170" t="s">
        <v>209</v>
      </c>
      <c r="I60" s="116" t="s">
        <v>183</v>
      </c>
      <c r="J60" s="118"/>
      <c r="K60" s="118"/>
    </row>
    <row r="61" spans="1:11" ht="15" thickBot="1">
      <c r="A61" s="173" t="str">
        <f t="shared" si="1"/>
        <v>7D8A</v>
      </c>
      <c r="B61" s="174">
        <f t="shared" si="2"/>
        <v>38</v>
      </c>
      <c r="C61" s="124" t="s">
        <v>145</v>
      </c>
      <c r="D61" s="339"/>
      <c r="E61" s="168" t="s">
        <v>469</v>
      </c>
      <c r="F61" s="134" t="s">
        <v>594</v>
      </c>
      <c r="G61" s="114" t="s">
        <v>210</v>
      </c>
      <c r="H61" s="170" t="s">
        <v>211</v>
      </c>
      <c r="I61" s="116" t="s">
        <v>212</v>
      </c>
      <c r="J61" s="118"/>
      <c r="K61" s="118"/>
    </row>
    <row r="62" spans="1:11" ht="15" thickBot="1">
      <c r="A62" s="173" t="str">
        <f t="shared" si="1"/>
        <v>7D8B</v>
      </c>
      <c r="B62" s="174">
        <f t="shared" si="2"/>
        <v>39</v>
      </c>
      <c r="C62" s="124" t="s">
        <v>145</v>
      </c>
      <c r="D62" s="339"/>
      <c r="E62" s="168" t="s">
        <v>470</v>
      </c>
      <c r="F62" s="134" t="s">
        <v>602</v>
      </c>
      <c r="G62" s="114" t="s">
        <v>213</v>
      </c>
      <c r="H62" s="170" t="s">
        <v>214</v>
      </c>
      <c r="I62" s="116" t="s">
        <v>407</v>
      </c>
      <c r="J62" s="118"/>
      <c r="K62" s="118"/>
    </row>
    <row r="63" spans="1:11" ht="15" thickBot="1">
      <c r="A63" s="173" t="str">
        <f t="shared" si="1"/>
        <v>7D8C</v>
      </c>
      <c r="B63" s="174">
        <f t="shared" si="2"/>
        <v>40</v>
      </c>
      <c r="C63" s="124" t="s">
        <v>145</v>
      </c>
      <c r="D63" s="339"/>
      <c r="E63" s="168" t="s">
        <v>471</v>
      </c>
      <c r="F63" s="134" t="s">
        <v>610</v>
      </c>
      <c r="G63" s="114" t="s">
        <v>215</v>
      </c>
      <c r="H63" s="170" t="s">
        <v>216</v>
      </c>
      <c r="I63" s="116" t="s">
        <v>408</v>
      </c>
      <c r="J63" s="118"/>
      <c r="K63" s="118"/>
    </row>
    <row r="64" spans="1:11" ht="15" thickBot="1">
      <c r="A64" s="173" t="str">
        <f t="shared" si="1"/>
        <v>7D8D</v>
      </c>
      <c r="B64" s="174">
        <f t="shared" si="2"/>
        <v>41</v>
      </c>
      <c r="C64" s="124" t="s">
        <v>145</v>
      </c>
      <c r="D64" s="339"/>
      <c r="E64" s="168" t="s">
        <v>472</v>
      </c>
      <c r="F64" s="134" t="s">
        <v>611</v>
      </c>
      <c r="G64" s="114" t="s">
        <v>217</v>
      </c>
      <c r="H64" s="170" t="s">
        <v>218</v>
      </c>
      <c r="I64" s="116" t="s">
        <v>219</v>
      </c>
      <c r="J64" s="118"/>
      <c r="K64" s="118"/>
    </row>
    <row r="65" spans="1:11" ht="15" thickBot="1">
      <c r="A65" s="173" t="str">
        <f t="shared" si="1"/>
        <v>7D8E</v>
      </c>
      <c r="B65" s="174">
        <f t="shared" si="2"/>
        <v>42</v>
      </c>
      <c r="C65" s="124" t="s">
        <v>145</v>
      </c>
      <c r="D65" s="339"/>
      <c r="E65" s="168" t="s">
        <v>473</v>
      </c>
      <c r="F65" s="134" t="s">
        <v>599</v>
      </c>
      <c r="G65" s="114" t="s">
        <v>220</v>
      </c>
      <c r="H65" s="170" t="s">
        <v>221</v>
      </c>
      <c r="I65" s="116" t="s">
        <v>222</v>
      </c>
      <c r="J65" s="118"/>
      <c r="K65" s="118"/>
    </row>
    <row r="66" spans="1:11" ht="15" thickBot="1">
      <c r="A66" s="173" t="str">
        <f t="shared" si="1"/>
        <v>7D8F</v>
      </c>
      <c r="B66" s="174">
        <f t="shared" si="2"/>
        <v>43</v>
      </c>
      <c r="C66" s="124" t="s">
        <v>145</v>
      </c>
      <c r="D66" s="339"/>
      <c r="E66" s="168" t="s">
        <v>474</v>
      </c>
      <c r="F66" s="134" t="s">
        <v>611</v>
      </c>
      <c r="G66" s="114" t="s">
        <v>223</v>
      </c>
      <c r="H66" s="170" t="s">
        <v>224</v>
      </c>
      <c r="I66" s="116" t="s">
        <v>225</v>
      </c>
      <c r="J66" s="118"/>
      <c r="K66" s="118"/>
    </row>
    <row r="67" spans="1:11" ht="15" thickBot="1">
      <c r="A67" s="173" t="str">
        <f t="shared" si="1"/>
        <v>7D90</v>
      </c>
      <c r="B67" s="174">
        <f t="shared" si="2"/>
        <v>44</v>
      </c>
      <c r="C67" s="124" t="s">
        <v>145</v>
      </c>
      <c r="D67" s="339"/>
      <c r="E67" s="129" t="s">
        <v>475</v>
      </c>
      <c r="F67" s="134" t="s">
        <v>593</v>
      </c>
      <c r="G67" s="114" t="s">
        <v>226</v>
      </c>
      <c r="H67" s="170" t="s">
        <v>227</v>
      </c>
      <c r="I67" s="116" t="s">
        <v>228</v>
      </c>
      <c r="J67" s="118"/>
      <c r="K67" s="118"/>
    </row>
    <row r="68" spans="1:11" ht="15" thickBot="1">
      <c r="A68" s="173" t="str">
        <f t="shared" si="1"/>
        <v>7D91</v>
      </c>
      <c r="B68" s="174">
        <f t="shared" si="2"/>
        <v>45</v>
      </c>
      <c r="C68" s="124" t="s">
        <v>145</v>
      </c>
      <c r="D68" s="339"/>
      <c r="E68" s="129" t="s">
        <v>476</v>
      </c>
      <c r="F68" s="134" t="s">
        <v>612</v>
      </c>
      <c r="G68" s="114" t="s">
        <v>229</v>
      </c>
      <c r="H68" s="170" t="s">
        <v>230</v>
      </c>
      <c r="I68" s="116" t="s">
        <v>409</v>
      </c>
      <c r="J68" s="118"/>
      <c r="K68" s="118"/>
    </row>
    <row r="69" spans="1:11" ht="15" thickBot="1">
      <c r="A69" s="173" t="str">
        <f t="shared" si="1"/>
        <v>7D92</v>
      </c>
      <c r="B69" s="174">
        <f t="shared" ref="B69:B90" si="3">$B68+1</f>
        <v>46</v>
      </c>
      <c r="C69" s="124" t="s">
        <v>145</v>
      </c>
      <c r="D69" s="339"/>
      <c r="E69" s="166" t="s">
        <v>477</v>
      </c>
      <c r="F69" s="134" t="s">
        <v>614</v>
      </c>
      <c r="G69" s="355" t="s">
        <v>395</v>
      </c>
      <c r="H69" s="357" t="s">
        <v>396</v>
      </c>
      <c r="I69" s="116"/>
      <c r="J69" s="118"/>
      <c r="K69" s="118"/>
    </row>
    <row r="70" spans="1:11" ht="15" thickBot="1">
      <c r="A70" s="173" t="str">
        <f t="shared" si="1"/>
        <v>7D93</v>
      </c>
      <c r="B70" s="174">
        <f t="shared" si="3"/>
        <v>47</v>
      </c>
      <c r="C70" s="124" t="s">
        <v>145</v>
      </c>
      <c r="D70" s="339"/>
      <c r="E70" s="166" t="s">
        <v>478</v>
      </c>
      <c r="F70" s="134" t="s">
        <v>597</v>
      </c>
      <c r="G70" s="356"/>
      <c r="H70" s="358"/>
      <c r="I70" s="116"/>
      <c r="J70" s="118"/>
      <c r="K70" s="118"/>
    </row>
    <row r="71" spans="1:11" ht="15" thickBot="1">
      <c r="A71" s="173" t="str">
        <f t="shared" si="1"/>
        <v>7D94</v>
      </c>
      <c r="B71" s="174">
        <f t="shared" si="3"/>
        <v>48</v>
      </c>
      <c r="C71" s="124" t="s">
        <v>145</v>
      </c>
      <c r="D71" s="339"/>
      <c r="E71" s="166" t="s">
        <v>479</v>
      </c>
      <c r="F71" s="134" t="s">
        <v>615</v>
      </c>
      <c r="G71" s="355" t="s">
        <v>412</v>
      </c>
      <c r="H71" s="357" t="s">
        <v>396</v>
      </c>
      <c r="I71" s="116"/>
      <c r="J71" s="118"/>
      <c r="K71" s="118"/>
    </row>
    <row r="72" spans="1:11" ht="15" thickBot="1">
      <c r="A72" s="173" t="str">
        <f t="shared" si="1"/>
        <v>7D95</v>
      </c>
      <c r="B72" s="174">
        <f t="shared" si="3"/>
        <v>49</v>
      </c>
      <c r="C72" s="124" t="s">
        <v>145</v>
      </c>
      <c r="D72" s="339"/>
      <c r="E72" s="166" t="s">
        <v>480</v>
      </c>
      <c r="F72" s="134" t="s">
        <v>597</v>
      </c>
      <c r="G72" s="356"/>
      <c r="H72" s="358"/>
      <c r="I72" s="116"/>
      <c r="J72" s="118"/>
      <c r="K72" s="118"/>
    </row>
    <row r="73" spans="1:11" ht="15" thickBot="1">
      <c r="A73" s="173" t="str">
        <f t="shared" si="1"/>
        <v>7D96</v>
      </c>
      <c r="B73" s="174">
        <f t="shared" si="3"/>
        <v>50</v>
      </c>
      <c r="C73" s="124" t="s">
        <v>145</v>
      </c>
      <c r="D73" s="339"/>
      <c r="E73" s="166" t="s">
        <v>481</v>
      </c>
      <c r="F73" s="134" t="s">
        <v>613</v>
      </c>
      <c r="G73" s="355" t="s">
        <v>413</v>
      </c>
      <c r="H73" s="357" t="s">
        <v>396</v>
      </c>
      <c r="I73" s="116"/>
      <c r="J73" s="118"/>
      <c r="K73" s="118"/>
    </row>
    <row r="74" spans="1:11" ht="15" thickBot="1">
      <c r="A74" s="173" t="str">
        <f t="shared" si="1"/>
        <v>7D97</v>
      </c>
      <c r="B74" s="174">
        <f t="shared" si="3"/>
        <v>51</v>
      </c>
      <c r="C74" s="124" t="s">
        <v>145</v>
      </c>
      <c r="D74" s="339"/>
      <c r="E74" s="166" t="s">
        <v>482</v>
      </c>
      <c r="F74" s="134" t="s">
        <v>599</v>
      </c>
      <c r="G74" s="356"/>
      <c r="H74" s="358"/>
      <c r="I74" s="116"/>
      <c r="J74" s="118"/>
      <c r="K74" s="118"/>
    </row>
    <row r="75" spans="1:11" ht="15" thickBot="1">
      <c r="A75" s="173" t="str">
        <f t="shared" si="1"/>
        <v>7D98</v>
      </c>
      <c r="B75" s="174">
        <f t="shared" si="3"/>
        <v>52</v>
      </c>
      <c r="C75" s="124" t="s">
        <v>145</v>
      </c>
      <c r="D75" s="339"/>
      <c r="E75" s="166" t="s">
        <v>483</v>
      </c>
      <c r="F75" s="134" t="s">
        <v>616</v>
      </c>
      <c r="G75" s="355" t="s">
        <v>414</v>
      </c>
      <c r="H75" s="357" t="s">
        <v>396</v>
      </c>
      <c r="I75" s="116"/>
      <c r="J75" s="118"/>
      <c r="K75" s="118"/>
    </row>
    <row r="76" spans="1:11" ht="15" thickBot="1">
      <c r="A76" s="173" t="str">
        <f t="shared" si="1"/>
        <v>7D99</v>
      </c>
      <c r="B76" s="174">
        <f t="shared" si="3"/>
        <v>53</v>
      </c>
      <c r="C76" s="124" t="s">
        <v>145</v>
      </c>
      <c r="D76" s="339"/>
      <c r="E76" s="166" t="s">
        <v>484</v>
      </c>
      <c r="F76" s="134" t="s">
        <v>599</v>
      </c>
      <c r="G76" s="356"/>
      <c r="H76" s="358"/>
      <c r="I76" s="116"/>
      <c r="J76" s="118"/>
      <c r="K76" s="118"/>
    </row>
    <row r="77" spans="1:11" ht="15" thickBot="1">
      <c r="A77" s="173" t="str">
        <f t="shared" si="1"/>
        <v>7D9A</v>
      </c>
      <c r="B77" s="174">
        <f t="shared" si="3"/>
        <v>54</v>
      </c>
      <c r="C77" s="124" t="s">
        <v>145</v>
      </c>
      <c r="D77" s="339"/>
      <c r="E77" s="166" t="s">
        <v>485</v>
      </c>
      <c r="F77" s="134" t="s">
        <v>621</v>
      </c>
      <c r="G77" s="355" t="s">
        <v>415</v>
      </c>
      <c r="H77" s="357" t="s">
        <v>396</v>
      </c>
      <c r="I77" s="116"/>
      <c r="J77" s="118"/>
      <c r="K77" s="118"/>
    </row>
    <row r="78" spans="1:11" ht="15" thickBot="1">
      <c r="A78" s="173" t="str">
        <f t="shared" si="1"/>
        <v>7D9B</v>
      </c>
      <c r="B78" s="174">
        <f t="shared" si="3"/>
        <v>55</v>
      </c>
      <c r="C78" s="124" t="s">
        <v>145</v>
      </c>
      <c r="D78" s="339"/>
      <c r="E78" s="166" t="s">
        <v>486</v>
      </c>
      <c r="F78" s="134" t="s">
        <v>602</v>
      </c>
      <c r="G78" s="356"/>
      <c r="H78" s="358"/>
      <c r="I78" s="116"/>
      <c r="J78" s="118"/>
      <c r="K78" s="118"/>
    </row>
    <row r="79" spans="1:11" ht="15" thickBot="1">
      <c r="A79" s="173" t="str">
        <f t="shared" si="1"/>
        <v>7D9C</v>
      </c>
      <c r="B79" s="174">
        <f t="shared" si="3"/>
        <v>56</v>
      </c>
      <c r="C79" s="124" t="s">
        <v>145</v>
      </c>
      <c r="D79" s="339"/>
      <c r="E79" s="166" t="s">
        <v>487</v>
      </c>
      <c r="F79" s="134" t="s">
        <v>622</v>
      </c>
      <c r="G79" s="355" t="s">
        <v>418</v>
      </c>
      <c r="H79" s="357" t="s">
        <v>396</v>
      </c>
      <c r="I79" s="116"/>
      <c r="J79" s="118"/>
      <c r="K79" s="118"/>
    </row>
    <row r="80" spans="1:11" ht="15" thickBot="1">
      <c r="A80" s="173" t="str">
        <f t="shared" si="1"/>
        <v>7D9D</v>
      </c>
      <c r="B80" s="174">
        <f t="shared" si="3"/>
        <v>57</v>
      </c>
      <c r="C80" s="124" t="s">
        <v>145</v>
      </c>
      <c r="D80" s="339"/>
      <c r="E80" s="166" t="s">
        <v>488</v>
      </c>
      <c r="F80" s="134" t="s">
        <v>602</v>
      </c>
      <c r="G80" s="356"/>
      <c r="H80" s="358"/>
      <c r="I80" s="116"/>
      <c r="J80" s="118"/>
      <c r="K80" s="118"/>
    </row>
    <row r="81" spans="1:11" ht="15" thickBot="1">
      <c r="A81" s="173" t="str">
        <f t="shared" si="1"/>
        <v>7D9E</v>
      </c>
      <c r="B81" s="174">
        <f t="shared" si="3"/>
        <v>58</v>
      </c>
      <c r="C81" s="124" t="s">
        <v>145</v>
      </c>
      <c r="D81" s="339"/>
      <c r="E81" s="166" t="s">
        <v>489</v>
      </c>
      <c r="F81" s="134" t="s">
        <v>617</v>
      </c>
      <c r="G81" s="355" t="s">
        <v>416</v>
      </c>
      <c r="H81" s="357" t="s">
        <v>396</v>
      </c>
      <c r="I81" s="116"/>
      <c r="J81" s="118"/>
      <c r="K81" s="118"/>
    </row>
    <row r="82" spans="1:11" ht="15" thickBot="1">
      <c r="A82" s="173" t="str">
        <f t="shared" si="1"/>
        <v>7D9F</v>
      </c>
      <c r="B82" s="174">
        <f t="shared" si="3"/>
        <v>59</v>
      </c>
      <c r="C82" s="124" t="s">
        <v>145</v>
      </c>
      <c r="D82" s="339"/>
      <c r="E82" s="166" t="s">
        <v>490</v>
      </c>
      <c r="F82" s="134" t="s">
        <v>605</v>
      </c>
      <c r="G82" s="356"/>
      <c r="H82" s="358"/>
      <c r="I82" s="116"/>
      <c r="J82" s="118"/>
      <c r="K82" s="118"/>
    </row>
    <row r="83" spans="1:11" ht="15" thickBot="1">
      <c r="A83" s="173" t="str">
        <f t="shared" si="1"/>
        <v>7DA0</v>
      </c>
      <c r="B83" s="174">
        <f t="shared" si="3"/>
        <v>60</v>
      </c>
      <c r="C83" s="124" t="s">
        <v>145</v>
      </c>
      <c r="D83" s="339"/>
      <c r="E83" s="166" t="s">
        <v>491</v>
      </c>
      <c r="F83" s="134" t="s">
        <v>618</v>
      </c>
      <c r="G83" s="355" t="s">
        <v>417</v>
      </c>
      <c r="H83" s="357" t="s">
        <v>396</v>
      </c>
      <c r="I83" s="116"/>
      <c r="J83" s="118"/>
      <c r="K83" s="118"/>
    </row>
    <row r="84" spans="1:11" ht="15" thickBot="1">
      <c r="A84" s="173" t="str">
        <f t="shared" si="1"/>
        <v>7DA1</v>
      </c>
      <c r="B84" s="174">
        <f t="shared" si="3"/>
        <v>61</v>
      </c>
      <c r="C84" s="124" t="s">
        <v>145</v>
      </c>
      <c r="D84" s="339"/>
      <c r="E84" s="166" t="s">
        <v>492</v>
      </c>
      <c r="F84" s="134" t="s">
        <v>605</v>
      </c>
      <c r="G84" s="356"/>
      <c r="H84" s="358"/>
      <c r="I84" s="116"/>
      <c r="J84" s="118"/>
      <c r="K84" s="118"/>
    </row>
    <row r="85" spans="1:11" ht="15" thickBot="1">
      <c r="A85" s="173" t="str">
        <f t="shared" si="1"/>
        <v>7DA2</v>
      </c>
      <c r="B85" s="174">
        <f t="shared" si="3"/>
        <v>62</v>
      </c>
      <c r="C85" s="124" t="s">
        <v>145</v>
      </c>
      <c r="D85" s="339"/>
      <c r="E85" s="166" t="s">
        <v>493</v>
      </c>
      <c r="F85" s="134" t="s">
        <v>619</v>
      </c>
      <c r="G85" s="355" t="s">
        <v>419</v>
      </c>
      <c r="H85" s="357" t="s">
        <v>396</v>
      </c>
      <c r="I85" s="116"/>
      <c r="J85" s="118"/>
      <c r="K85" s="118"/>
    </row>
    <row r="86" spans="1:11" ht="15" thickBot="1">
      <c r="A86" s="173" t="str">
        <f t="shared" si="1"/>
        <v>7DA3</v>
      </c>
      <c r="B86" s="174">
        <f t="shared" si="3"/>
        <v>63</v>
      </c>
      <c r="C86" s="124" t="s">
        <v>145</v>
      </c>
      <c r="D86" s="339"/>
      <c r="E86" s="166" t="s">
        <v>494</v>
      </c>
      <c r="F86" s="134" t="s">
        <v>605</v>
      </c>
      <c r="G86" s="356"/>
      <c r="H86" s="358"/>
      <c r="I86" s="116"/>
      <c r="J86" s="118"/>
      <c r="K86" s="118"/>
    </row>
    <row r="87" spans="1:11" ht="15" thickBot="1">
      <c r="A87" s="173" t="str">
        <f t="shared" si="1"/>
        <v>7DA4</v>
      </c>
      <c r="B87" s="174">
        <f t="shared" si="3"/>
        <v>64</v>
      </c>
      <c r="C87" s="124" t="s">
        <v>145</v>
      </c>
      <c r="D87" s="339"/>
      <c r="E87" s="166" t="s">
        <v>495</v>
      </c>
      <c r="F87" s="134" t="s">
        <v>620</v>
      </c>
      <c r="G87" s="355" t="s">
        <v>420</v>
      </c>
      <c r="H87" s="357" t="s">
        <v>396</v>
      </c>
      <c r="I87" s="116"/>
      <c r="J87" s="118"/>
      <c r="K87" s="118"/>
    </row>
    <row r="88" spans="1:11" ht="15" thickBot="1">
      <c r="A88" s="173" t="str">
        <f t="shared" si="1"/>
        <v>7DA5</v>
      </c>
      <c r="B88" s="174">
        <f t="shared" si="3"/>
        <v>65</v>
      </c>
      <c r="C88" s="124" t="s">
        <v>145</v>
      </c>
      <c r="D88" s="339"/>
      <c r="E88" s="166" t="s">
        <v>496</v>
      </c>
      <c r="F88" s="134" t="s">
        <v>605</v>
      </c>
      <c r="G88" s="356"/>
      <c r="H88" s="358"/>
      <c r="I88" s="116"/>
      <c r="J88" s="118"/>
      <c r="K88" s="118"/>
    </row>
    <row r="89" spans="1:11" ht="15" thickBot="1">
      <c r="A89" s="173" t="str">
        <f t="shared" si="1"/>
        <v>7DA6</v>
      </c>
      <c r="B89" s="174">
        <f t="shared" si="3"/>
        <v>66</v>
      </c>
      <c r="C89" s="124" t="s">
        <v>145</v>
      </c>
      <c r="D89" s="339"/>
      <c r="E89" s="166" t="s">
        <v>497</v>
      </c>
      <c r="F89" s="134" t="s">
        <v>593</v>
      </c>
      <c r="G89" s="355" t="s">
        <v>423</v>
      </c>
      <c r="H89" s="357" t="s">
        <v>426</v>
      </c>
      <c r="I89" s="160" t="s">
        <v>424</v>
      </c>
      <c r="J89" s="118"/>
      <c r="K89" s="118"/>
    </row>
    <row r="90" spans="1:11" ht="15" thickBot="1">
      <c r="A90" s="173" t="str">
        <f t="shared" si="1"/>
        <v>7DA7</v>
      </c>
      <c r="B90" s="174">
        <f t="shared" si="3"/>
        <v>67</v>
      </c>
      <c r="C90" s="124" t="s">
        <v>145</v>
      </c>
      <c r="D90" s="339"/>
      <c r="E90" s="166" t="s">
        <v>498</v>
      </c>
      <c r="F90" s="134" t="s">
        <v>593</v>
      </c>
      <c r="G90" s="356"/>
      <c r="H90" s="358"/>
      <c r="I90" s="160"/>
      <c r="J90" s="118"/>
      <c r="K90" s="118"/>
    </row>
    <row r="91" spans="1:11" ht="15" thickBot="1">
      <c r="A91" s="173" t="str">
        <f t="shared" si="1"/>
        <v>7DA8</v>
      </c>
      <c r="B91" s="174">
        <f>$B90+1</f>
        <v>68</v>
      </c>
      <c r="C91" s="142" t="s">
        <v>145</v>
      </c>
      <c r="D91" s="343"/>
      <c r="E91" s="166" t="s">
        <v>505</v>
      </c>
      <c r="F91" s="134" t="s">
        <v>623</v>
      </c>
      <c r="G91" s="143" t="s">
        <v>501</v>
      </c>
      <c r="H91" s="144" t="s">
        <v>503</v>
      </c>
      <c r="I91" s="339"/>
      <c r="J91" s="118" t="s">
        <v>102</v>
      </c>
      <c r="K91" s="120" t="s">
        <v>62</v>
      </c>
    </row>
    <row r="92" spans="1:11" ht="15" thickBot="1">
      <c r="A92" s="173" t="str">
        <f t="shared" si="1"/>
        <v>7DA9</v>
      </c>
      <c r="B92" s="174">
        <f>$B91+1</f>
        <v>69</v>
      </c>
      <c r="C92" s="142" t="s">
        <v>145</v>
      </c>
      <c r="D92" s="343"/>
      <c r="E92" s="166" t="s">
        <v>506</v>
      </c>
      <c r="F92" s="134" t="s">
        <v>624</v>
      </c>
      <c r="G92" s="143" t="s">
        <v>502</v>
      </c>
      <c r="H92" s="144" t="s">
        <v>504</v>
      </c>
      <c r="I92" s="339"/>
      <c r="J92" s="118" t="s">
        <v>102</v>
      </c>
      <c r="K92" s="120" t="s">
        <v>62</v>
      </c>
    </row>
    <row r="93" spans="1:11" ht="15" thickBot="1">
      <c r="A93" s="173" t="str">
        <f t="shared" si="1"/>
        <v>7DAA</v>
      </c>
      <c r="B93" s="174">
        <f t="shared" ref="B93:B94" si="4">$B92+1</f>
        <v>70</v>
      </c>
      <c r="C93" s="142" t="s">
        <v>145</v>
      </c>
      <c r="D93" s="343"/>
      <c r="E93" s="166" t="s">
        <v>507</v>
      </c>
      <c r="F93" s="134" t="s">
        <v>625</v>
      </c>
      <c r="G93" s="143" t="s">
        <v>233</v>
      </c>
      <c r="H93" s="144" t="s">
        <v>234</v>
      </c>
      <c r="I93" s="339"/>
      <c r="J93" s="118" t="s">
        <v>102</v>
      </c>
      <c r="K93" s="120" t="s">
        <v>62</v>
      </c>
    </row>
    <row r="94" spans="1:11" ht="15" thickBot="1">
      <c r="A94" s="173" t="str">
        <f t="shared" si="1"/>
        <v>7DAB</v>
      </c>
      <c r="B94" s="174">
        <f t="shared" si="4"/>
        <v>71</v>
      </c>
      <c r="C94" s="142" t="s">
        <v>145</v>
      </c>
      <c r="D94" s="343"/>
      <c r="E94" s="166" t="s">
        <v>508</v>
      </c>
      <c r="F94" s="134" t="s">
        <v>593</v>
      </c>
      <c r="G94" s="145" t="s">
        <v>235</v>
      </c>
      <c r="H94" s="144" t="s">
        <v>236</v>
      </c>
      <c r="I94" s="339"/>
      <c r="J94" s="118" t="s">
        <v>102</v>
      </c>
      <c r="K94" s="120" t="s">
        <v>62</v>
      </c>
    </row>
    <row r="95" spans="1:11" ht="15" thickBot="1">
      <c r="A95" s="173" t="str">
        <f t="shared" si="1"/>
        <v>7DAC</v>
      </c>
      <c r="B95" s="174">
        <f t="shared" ref="B95" si="5">$B94+1</f>
        <v>72</v>
      </c>
      <c r="C95" s="142" t="s">
        <v>145</v>
      </c>
      <c r="D95" s="343"/>
      <c r="E95" s="166" t="s">
        <v>509</v>
      </c>
      <c r="F95" s="134" t="s">
        <v>593</v>
      </c>
      <c r="G95" s="145" t="s">
        <v>510</v>
      </c>
      <c r="H95" s="144" t="s">
        <v>512</v>
      </c>
      <c r="I95" s="339"/>
      <c r="J95" s="118" t="s">
        <v>102</v>
      </c>
      <c r="K95" s="120" t="s">
        <v>62</v>
      </c>
    </row>
    <row r="96" spans="1:11" ht="15" thickBot="1">
      <c r="A96" s="173" t="str">
        <f t="shared" si="1"/>
        <v>7DAD</v>
      </c>
      <c r="B96" s="174">
        <f t="shared" ref="B96:B113" si="6">$B95+1</f>
        <v>73</v>
      </c>
      <c r="C96" s="142" t="s">
        <v>145</v>
      </c>
      <c r="D96" s="343"/>
      <c r="E96" s="166" t="s">
        <v>514</v>
      </c>
      <c r="F96" s="134" t="s">
        <v>593</v>
      </c>
      <c r="G96" s="145" t="s">
        <v>511</v>
      </c>
      <c r="H96" s="144" t="s">
        <v>513</v>
      </c>
      <c r="I96" s="339"/>
      <c r="J96" s="118" t="s">
        <v>102</v>
      </c>
      <c r="K96" s="120" t="s">
        <v>62</v>
      </c>
    </row>
    <row r="97" spans="1:11" ht="15" thickBot="1">
      <c r="A97" s="173" t="str">
        <f t="shared" si="1"/>
        <v>7DAE</v>
      </c>
      <c r="B97" s="174">
        <f t="shared" si="6"/>
        <v>74</v>
      </c>
      <c r="C97" s="142" t="s">
        <v>145</v>
      </c>
      <c r="D97" s="343"/>
      <c r="E97" s="166" t="s">
        <v>515</v>
      </c>
      <c r="F97" s="134" t="s">
        <v>593</v>
      </c>
      <c r="G97" s="145" t="s">
        <v>517</v>
      </c>
      <c r="H97" s="144" t="s">
        <v>519</v>
      </c>
      <c r="I97" s="339"/>
      <c r="J97" s="118" t="s">
        <v>102</v>
      </c>
      <c r="K97" s="120" t="s">
        <v>62</v>
      </c>
    </row>
    <row r="98" spans="1:11" ht="15" thickBot="1">
      <c r="A98" s="173" t="str">
        <f t="shared" si="1"/>
        <v>7DAF</v>
      </c>
      <c r="B98" s="174">
        <f t="shared" si="6"/>
        <v>75</v>
      </c>
      <c r="C98" s="142" t="s">
        <v>145</v>
      </c>
      <c r="D98" s="343"/>
      <c r="E98" s="166" t="s">
        <v>516</v>
      </c>
      <c r="F98" s="134" t="s">
        <v>593</v>
      </c>
      <c r="G98" s="145" t="s">
        <v>518</v>
      </c>
      <c r="H98" s="144" t="s">
        <v>520</v>
      </c>
      <c r="I98" s="339"/>
      <c r="J98" s="118" t="s">
        <v>102</v>
      </c>
      <c r="K98" s="120" t="s">
        <v>62</v>
      </c>
    </row>
    <row r="99" spans="1:11" ht="15" thickBot="1">
      <c r="A99" s="173" t="str">
        <f t="shared" si="1"/>
        <v>7DB0</v>
      </c>
      <c r="B99" s="174">
        <f t="shared" si="6"/>
        <v>76</v>
      </c>
      <c r="C99" s="142" t="s">
        <v>145</v>
      </c>
      <c r="D99" s="343"/>
      <c r="E99" s="166" t="s">
        <v>521</v>
      </c>
      <c r="F99" s="134" t="s">
        <v>593</v>
      </c>
      <c r="G99" s="145" t="s">
        <v>237</v>
      </c>
      <c r="H99" s="144" t="s">
        <v>238</v>
      </c>
      <c r="I99" s="339"/>
      <c r="J99" s="118" t="s">
        <v>102</v>
      </c>
      <c r="K99" s="120" t="s">
        <v>62</v>
      </c>
    </row>
    <row r="100" spans="1:11" ht="15" thickBot="1">
      <c r="A100" s="173" t="str">
        <f t="shared" si="1"/>
        <v>7DB1</v>
      </c>
      <c r="B100" s="174">
        <f t="shared" si="6"/>
        <v>77</v>
      </c>
      <c r="C100" s="142" t="s">
        <v>145</v>
      </c>
      <c r="D100" s="343"/>
      <c r="E100" s="166" t="s">
        <v>522</v>
      </c>
      <c r="F100" s="134" t="s">
        <v>626</v>
      </c>
      <c r="G100" s="145" t="s">
        <v>239</v>
      </c>
      <c r="H100" s="144" t="s">
        <v>240</v>
      </c>
      <c r="I100" s="339"/>
      <c r="J100" s="118" t="s">
        <v>102</v>
      </c>
      <c r="K100" s="120" t="s">
        <v>62</v>
      </c>
    </row>
    <row r="101" spans="1:11" ht="15" thickBot="1">
      <c r="A101" s="173" t="str">
        <f t="shared" ref="A101:A159" si="7">DEC2HEX(HEX2DEC($A100)+1)</f>
        <v>7DB2</v>
      </c>
      <c r="B101" s="174">
        <f t="shared" si="6"/>
        <v>78</v>
      </c>
      <c r="C101" s="142" t="s">
        <v>145</v>
      </c>
      <c r="D101" s="343"/>
      <c r="E101" s="166" t="s">
        <v>523</v>
      </c>
      <c r="F101" s="134" t="s">
        <v>627</v>
      </c>
      <c r="G101" s="145" t="s">
        <v>524</v>
      </c>
      <c r="H101" s="146" t="s">
        <v>538</v>
      </c>
      <c r="I101" s="339"/>
      <c r="J101" s="118" t="s">
        <v>102</v>
      </c>
      <c r="K101" s="120" t="s">
        <v>62</v>
      </c>
    </row>
    <row r="102" spans="1:11" ht="15" thickBot="1">
      <c r="A102" s="173" t="str">
        <f t="shared" si="7"/>
        <v>7DB3</v>
      </c>
      <c r="B102" s="174">
        <f t="shared" si="6"/>
        <v>79</v>
      </c>
      <c r="C102" s="142" t="s">
        <v>145</v>
      </c>
      <c r="D102" s="343"/>
      <c r="E102" s="166" t="s">
        <v>527</v>
      </c>
      <c r="F102" s="134" t="s">
        <v>627</v>
      </c>
      <c r="G102" s="145" t="s">
        <v>525</v>
      </c>
      <c r="H102" s="146" t="s">
        <v>526</v>
      </c>
      <c r="I102" s="339"/>
      <c r="J102" s="118" t="s">
        <v>102</v>
      </c>
      <c r="K102" s="120" t="s">
        <v>62</v>
      </c>
    </row>
    <row r="103" spans="1:11" ht="15" thickBot="1">
      <c r="A103" s="173" t="str">
        <f t="shared" si="7"/>
        <v>7DB4</v>
      </c>
      <c r="B103" s="174">
        <f t="shared" si="6"/>
        <v>80</v>
      </c>
      <c r="C103" s="142" t="s">
        <v>145</v>
      </c>
      <c r="D103" s="343"/>
      <c r="E103" s="166" t="s">
        <v>528</v>
      </c>
      <c r="F103" s="134" t="s">
        <v>628</v>
      </c>
      <c r="G103" s="145" t="s">
        <v>530</v>
      </c>
      <c r="H103" s="146" t="s">
        <v>539</v>
      </c>
      <c r="I103" s="339"/>
      <c r="J103" s="118" t="s">
        <v>102</v>
      </c>
      <c r="K103" s="120" t="s">
        <v>62</v>
      </c>
    </row>
    <row r="104" spans="1:11" ht="15" thickBot="1">
      <c r="A104" s="173" t="str">
        <f t="shared" si="7"/>
        <v>7DB5</v>
      </c>
      <c r="B104" s="174">
        <f t="shared" si="6"/>
        <v>81</v>
      </c>
      <c r="C104" s="142" t="s">
        <v>145</v>
      </c>
      <c r="D104" s="343"/>
      <c r="E104" s="166" t="s">
        <v>529</v>
      </c>
      <c r="F104" s="134" t="s">
        <v>593</v>
      </c>
      <c r="G104" s="145" t="s">
        <v>531</v>
      </c>
      <c r="H104" s="146" t="s">
        <v>532</v>
      </c>
      <c r="I104" s="339"/>
      <c r="J104" s="118" t="s">
        <v>102</v>
      </c>
      <c r="K104" s="120" t="s">
        <v>62</v>
      </c>
    </row>
    <row r="105" spans="1:11" ht="15" thickBot="1">
      <c r="A105" s="173" t="str">
        <f t="shared" si="7"/>
        <v>7DB6</v>
      </c>
      <c r="B105" s="174">
        <f t="shared" si="6"/>
        <v>82</v>
      </c>
      <c r="C105" s="142" t="s">
        <v>145</v>
      </c>
      <c r="D105" s="343"/>
      <c r="E105" s="166" t="s">
        <v>533</v>
      </c>
      <c r="F105" s="134" t="s">
        <v>629</v>
      </c>
      <c r="G105" s="145" t="s">
        <v>535</v>
      </c>
      <c r="H105" s="146" t="s">
        <v>540</v>
      </c>
      <c r="I105" s="339"/>
      <c r="J105" s="118" t="s">
        <v>102</v>
      </c>
      <c r="K105" s="120" t="s">
        <v>62</v>
      </c>
    </row>
    <row r="106" spans="1:11" ht="15" thickBot="1">
      <c r="A106" s="173" t="str">
        <f t="shared" si="7"/>
        <v>7DB7</v>
      </c>
      <c r="B106" s="174">
        <f t="shared" si="6"/>
        <v>83</v>
      </c>
      <c r="C106" s="142" t="s">
        <v>145</v>
      </c>
      <c r="D106" s="343"/>
      <c r="E106" s="166" t="s">
        <v>534</v>
      </c>
      <c r="F106" s="134" t="s">
        <v>630</v>
      </c>
      <c r="G106" s="145" t="s">
        <v>536</v>
      </c>
      <c r="H106" s="146" t="s">
        <v>537</v>
      </c>
      <c r="I106" s="339"/>
      <c r="J106" s="118" t="s">
        <v>102</v>
      </c>
      <c r="K106" s="120" t="s">
        <v>62</v>
      </c>
    </row>
    <row r="107" spans="1:11" ht="15" thickBot="1">
      <c r="A107" s="173" t="str">
        <f t="shared" si="7"/>
        <v>7DB8</v>
      </c>
      <c r="B107" s="174">
        <f t="shared" si="6"/>
        <v>84</v>
      </c>
      <c r="C107" s="142" t="s">
        <v>145</v>
      </c>
      <c r="D107" s="343"/>
      <c r="E107" s="166" t="s">
        <v>541</v>
      </c>
      <c r="F107" s="134" t="s">
        <v>631</v>
      </c>
      <c r="G107" s="145" t="s">
        <v>241</v>
      </c>
      <c r="H107" s="144" t="s">
        <v>242</v>
      </c>
      <c r="I107" s="339"/>
      <c r="J107" s="118" t="s">
        <v>102</v>
      </c>
      <c r="K107" s="120" t="s">
        <v>62</v>
      </c>
    </row>
    <row r="108" spans="1:11" ht="15" thickBot="1">
      <c r="A108" s="173" t="str">
        <f t="shared" si="7"/>
        <v>7DB9</v>
      </c>
      <c r="B108" s="174">
        <f t="shared" si="6"/>
        <v>85</v>
      </c>
      <c r="C108" s="142" t="s">
        <v>145</v>
      </c>
      <c r="D108" s="343"/>
      <c r="E108" s="166" t="s">
        <v>542</v>
      </c>
      <c r="F108" s="134" t="s">
        <v>593</v>
      </c>
      <c r="G108" s="147" t="s">
        <v>243</v>
      </c>
      <c r="H108" s="144" t="s">
        <v>244</v>
      </c>
      <c r="I108" s="339"/>
      <c r="J108" s="118" t="s">
        <v>102</v>
      </c>
      <c r="K108" s="118" t="s">
        <v>62</v>
      </c>
    </row>
    <row r="109" spans="1:11" ht="15" thickBot="1">
      <c r="A109" s="173" t="str">
        <f t="shared" si="7"/>
        <v>7DBA</v>
      </c>
      <c r="B109" s="174">
        <f t="shared" si="6"/>
        <v>86</v>
      </c>
      <c r="C109" s="142" t="s">
        <v>145</v>
      </c>
      <c r="D109" s="343"/>
      <c r="E109" s="166" t="s">
        <v>543</v>
      </c>
      <c r="F109" s="134" t="s">
        <v>593</v>
      </c>
      <c r="G109" s="145" t="s">
        <v>245</v>
      </c>
      <c r="H109" s="144" t="s">
        <v>246</v>
      </c>
      <c r="I109" s="339"/>
      <c r="J109" s="118" t="s">
        <v>102</v>
      </c>
      <c r="K109" s="120" t="s">
        <v>62</v>
      </c>
    </row>
    <row r="110" spans="1:11" ht="15" thickBot="1">
      <c r="A110" s="173" t="str">
        <f t="shared" si="7"/>
        <v>7DBB</v>
      </c>
      <c r="B110" s="174">
        <f t="shared" si="6"/>
        <v>87</v>
      </c>
      <c r="C110" s="142" t="s">
        <v>145</v>
      </c>
      <c r="D110" s="343"/>
      <c r="E110" s="166" t="s">
        <v>544</v>
      </c>
      <c r="F110" s="134" t="s">
        <v>593</v>
      </c>
      <c r="G110" s="147" t="s">
        <v>247</v>
      </c>
      <c r="H110" s="144" t="s">
        <v>248</v>
      </c>
      <c r="I110" s="339"/>
      <c r="J110" s="118" t="s">
        <v>102</v>
      </c>
      <c r="K110" s="118" t="s">
        <v>62</v>
      </c>
    </row>
    <row r="111" spans="1:11" ht="28.2" thickBot="1">
      <c r="A111" s="173" t="str">
        <f t="shared" si="7"/>
        <v>7DBC</v>
      </c>
      <c r="B111" s="174">
        <f t="shared" si="6"/>
        <v>88</v>
      </c>
      <c r="C111" s="142" t="s">
        <v>145</v>
      </c>
      <c r="D111" s="343"/>
      <c r="E111" s="166" t="s">
        <v>547</v>
      </c>
      <c r="F111" s="134" t="s">
        <v>608</v>
      </c>
      <c r="G111" s="147" t="s">
        <v>379</v>
      </c>
      <c r="H111" s="144" t="s">
        <v>410</v>
      </c>
      <c r="I111" s="339"/>
      <c r="J111" s="118" t="s">
        <v>102</v>
      </c>
      <c r="K111" s="118" t="s">
        <v>62</v>
      </c>
    </row>
    <row r="112" spans="1:11" ht="28.2" thickBot="1">
      <c r="A112" s="173" t="str">
        <f t="shared" si="7"/>
        <v>7DBD</v>
      </c>
      <c r="B112" s="174">
        <f t="shared" si="6"/>
        <v>89</v>
      </c>
      <c r="C112" s="142" t="s">
        <v>145</v>
      </c>
      <c r="D112" s="343"/>
      <c r="E112" s="166" t="s">
        <v>548</v>
      </c>
      <c r="F112" s="134" t="s">
        <v>609</v>
      </c>
      <c r="G112" s="147" t="s">
        <v>249</v>
      </c>
      <c r="H112" s="144" t="s">
        <v>411</v>
      </c>
      <c r="I112" s="339"/>
      <c r="J112" s="118" t="s">
        <v>102</v>
      </c>
      <c r="K112" s="118" t="s">
        <v>62</v>
      </c>
    </row>
    <row r="113" spans="1:11" ht="15" thickBot="1">
      <c r="A113" s="173" t="str">
        <f t="shared" si="7"/>
        <v>7DBE</v>
      </c>
      <c r="B113" s="174">
        <f t="shared" si="6"/>
        <v>90</v>
      </c>
      <c r="C113" s="130" t="s">
        <v>145</v>
      </c>
      <c r="D113" s="339"/>
      <c r="E113" s="166" t="s">
        <v>545</v>
      </c>
      <c r="F113" s="134" t="s">
        <v>632</v>
      </c>
      <c r="G113" s="341" t="s">
        <v>250</v>
      </c>
      <c r="H113" s="351" t="s">
        <v>251</v>
      </c>
      <c r="I113" s="353"/>
      <c r="J113" s="118" t="s">
        <v>102</v>
      </c>
      <c r="K113" s="120" t="s">
        <v>62</v>
      </c>
    </row>
    <row r="114" spans="1:11" ht="15" thickBot="1">
      <c r="A114" s="173" t="str">
        <f t="shared" si="7"/>
        <v>7DBF</v>
      </c>
      <c r="B114" s="174">
        <f t="shared" ref="B114:B117" si="8">$B113+1</f>
        <v>91</v>
      </c>
      <c r="C114" s="130" t="s">
        <v>145</v>
      </c>
      <c r="D114" s="339"/>
      <c r="E114" s="166" t="s">
        <v>546</v>
      </c>
      <c r="F114" s="134" t="s">
        <v>633</v>
      </c>
      <c r="G114" s="339"/>
      <c r="H114" s="359"/>
      <c r="I114" s="353"/>
      <c r="J114" s="118" t="s">
        <v>102</v>
      </c>
      <c r="K114" s="120" t="s">
        <v>62</v>
      </c>
    </row>
    <row r="115" spans="1:11" ht="15" thickBot="1">
      <c r="A115" s="173" t="str">
        <f t="shared" si="7"/>
        <v>7DC0</v>
      </c>
      <c r="B115" s="174">
        <f t="shared" si="8"/>
        <v>92</v>
      </c>
      <c r="C115" s="130" t="s">
        <v>145</v>
      </c>
      <c r="D115" s="339"/>
      <c r="E115" s="166" t="s">
        <v>549</v>
      </c>
      <c r="F115" s="134" t="s">
        <v>634</v>
      </c>
      <c r="G115" s="339"/>
      <c r="H115" s="359"/>
      <c r="I115" s="353"/>
      <c r="J115" s="118" t="s">
        <v>102</v>
      </c>
      <c r="K115" s="120" t="s">
        <v>62</v>
      </c>
    </row>
    <row r="116" spans="1:11" ht="15" thickBot="1">
      <c r="A116" s="173" t="str">
        <f t="shared" si="7"/>
        <v>7DC1</v>
      </c>
      <c r="B116" s="174">
        <f t="shared" si="8"/>
        <v>93</v>
      </c>
      <c r="C116" s="130" t="s">
        <v>145</v>
      </c>
      <c r="D116" s="339"/>
      <c r="E116" s="166" t="s">
        <v>550</v>
      </c>
      <c r="F116" s="134" t="s">
        <v>635</v>
      </c>
      <c r="G116" s="340"/>
      <c r="H116" s="352"/>
      <c r="I116" s="353"/>
      <c r="J116" s="118" t="s">
        <v>102</v>
      </c>
      <c r="K116" s="120" t="s">
        <v>62</v>
      </c>
    </row>
    <row r="117" spans="1:11" ht="15" thickBot="1">
      <c r="A117" s="173" t="str">
        <f t="shared" si="7"/>
        <v>7DC2</v>
      </c>
      <c r="B117" s="174">
        <f t="shared" si="8"/>
        <v>94</v>
      </c>
      <c r="C117" s="130" t="s">
        <v>145</v>
      </c>
      <c r="D117" s="339"/>
      <c r="E117" s="166" t="s">
        <v>551</v>
      </c>
      <c r="F117" s="134" t="s">
        <v>636</v>
      </c>
      <c r="G117" s="341" t="s">
        <v>252</v>
      </c>
      <c r="H117" s="351" t="s">
        <v>253</v>
      </c>
      <c r="I117" s="353"/>
      <c r="J117" s="118" t="s">
        <v>102</v>
      </c>
      <c r="K117" s="120" t="s">
        <v>62</v>
      </c>
    </row>
    <row r="118" spans="1:11" ht="15" thickBot="1">
      <c r="A118" s="173" t="str">
        <f t="shared" si="7"/>
        <v>7DC3</v>
      </c>
      <c r="B118" s="174">
        <f t="shared" ref="B118:B121" si="9">$B117+1</f>
        <v>95</v>
      </c>
      <c r="C118" s="130" t="s">
        <v>145</v>
      </c>
      <c r="D118" s="339"/>
      <c r="E118" s="166" t="s">
        <v>552</v>
      </c>
      <c r="F118" s="134" t="s">
        <v>600</v>
      </c>
      <c r="G118" s="339"/>
      <c r="H118" s="359"/>
      <c r="I118" s="353"/>
      <c r="J118" s="118" t="s">
        <v>102</v>
      </c>
      <c r="K118" s="120" t="s">
        <v>62</v>
      </c>
    </row>
    <row r="119" spans="1:11" ht="15" thickBot="1">
      <c r="A119" s="173" t="str">
        <f t="shared" si="7"/>
        <v>7DC4</v>
      </c>
      <c r="B119" s="174">
        <f t="shared" si="9"/>
        <v>96</v>
      </c>
      <c r="C119" s="130" t="s">
        <v>145</v>
      </c>
      <c r="D119" s="339"/>
      <c r="E119" s="166" t="s">
        <v>553</v>
      </c>
      <c r="F119" s="134" t="s">
        <v>658</v>
      </c>
      <c r="G119" s="339"/>
      <c r="H119" s="359"/>
      <c r="I119" s="353"/>
      <c r="J119" s="118" t="s">
        <v>102</v>
      </c>
      <c r="K119" s="120" t="s">
        <v>62</v>
      </c>
    </row>
    <row r="120" spans="1:11" ht="15" thickBot="1">
      <c r="A120" s="173" t="str">
        <f t="shared" si="7"/>
        <v>7DC5</v>
      </c>
      <c r="B120" s="174">
        <f t="shared" si="9"/>
        <v>97</v>
      </c>
      <c r="C120" s="130" t="s">
        <v>145</v>
      </c>
      <c r="D120" s="339"/>
      <c r="E120" s="166" t="s">
        <v>554</v>
      </c>
      <c r="F120" s="134" t="s">
        <v>637</v>
      </c>
      <c r="G120" s="340"/>
      <c r="H120" s="352"/>
      <c r="I120" s="353"/>
      <c r="J120" s="118" t="s">
        <v>102</v>
      </c>
      <c r="K120" s="120" t="s">
        <v>62</v>
      </c>
    </row>
    <row r="121" spans="1:11" ht="15" thickBot="1">
      <c r="A121" s="173" t="str">
        <f t="shared" si="7"/>
        <v>7DC6</v>
      </c>
      <c r="B121" s="174">
        <f t="shared" si="9"/>
        <v>98</v>
      </c>
      <c r="C121" s="130" t="s">
        <v>145</v>
      </c>
      <c r="D121" s="339"/>
      <c r="E121" s="166" t="s">
        <v>555</v>
      </c>
      <c r="F121" s="134" t="s">
        <v>638</v>
      </c>
      <c r="G121" s="341" t="s">
        <v>254</v>
      </c>
      <c r="H121" s="351" t="s">
        <v>255</v>
      </c>
      <c r="I121" s="353"/>
      <c r="J121" s="118" t="s">
        <v>102</v>
      </c>
      <c r="K121" s="120" t="s">
        <v>62</v>
      </c>
    </row>
    <row r="122" spans="1:11" ht="15" thickBot="1">
      <c r="A122" s="173" t="str">
        <f t="shared" si="7"/>
        <v>7DC7</v>
      </c>
      <c r="B122" s="174">
        <f t="shared" ref="B122:B125" si="10">$B121+1</f>
        <v>99</v>
      </c>
      <c r="C122" s="130" t="s">
        <v>145</v>
      </c>
      <c r="D122" s="339"/>
      <c r="E122" s="166" t="s">
        <v>556</v>
      </c>
      <c r="F122" s="134" t="s">
        <v>639</v>
      </c>
      <c r="G122" s="339"/>
      <c r="H122" s="359"/>
      <c r="I122" s="353"/>
      <c r="J122" s="118" t="s">
        <v>102</v>
      </c>
      <c r="K122" s="120" t="s">
        <v>62</v>
      </c>
    </row>
    <row r="123" spans="1:11" ht="15" thickBot="1">
      <c r="A123" s="173" t="str">
        <f t="shared" si="7"/>
        <v>7DC8</v>
      </c>
      <c r="B123" s="174">
        <f t="shared" si="10"/>
        <v>100</v>
      </c>
      <c r="C123" s="130" t="s">
        <v>145</v>
      </c>
      <c r="D123" s="339"/>
      <c r="E123" s="166" t="s">
        <v>557</v>
      </c>
      <c r="F123" s="134" t="s">
        <v>640</v>
      </c>
      <c r="G123" s="339"/>
      <c r="H123" s="359"/>
      <c r="I123" s="353"/>
      <c r="J123" s="118" t="s">
        <v>102</v>
      </c>
      <c r="K123" s="120" t="s">
        <v>62</v>
      </c>
    </row>
    <row r="124" spans="1:11" ht="15" thickBot="1">
      <c r="A124" s="173" t="str">
        <f t="shared" si="7"/>
        <v>7DC9</v>
      </c>
      <c r="B124" s="174">
        <f t="shared" si="10"/>
        <v>101</v>
      </c>
      <c r="C124" s="130" t="s">
        <v>145</v>
      </c>
      <c r="D124" s="339"/>
      <c r="E124" s="166" t="s">
        <v>558</v>
      </c>
      <c r="F124" s="134" t="s">
        <v>641</v>
      </c>
      <c r="G124" s="340"/>
      <c r="H124" s="352"/>
      <c r="I124" s="353"/>
      <c r="J124" s="118" t="s">
        <v>102</v>
      </c>
      <c r="K124" s="120" t="s">
        <v>62</v>
      </c>
    </row>
    <row r="125" spans="1:11" ht="15" thickBot="1">
      <c r="A125" s="173" t="str">
        <f t="shared" si="7"/>
        <v>7DCA</v>
      </c>
      <c r="B125" s="174">
        <f t="shared" si="10"/>
        <v>102</v>
      </c>
      <c r="C125" s="130" t="s">
        <v>145</v>
      </c>
      <c r="D125" s="339"/>
      <c r="E125" s="166" t="s">
        <v>559</v>
      </c>
      <c r="F125" s="134" t="s">
        <v>642</v>
      </c>
      <c r="G125" s="341" t="s">
        <v>256</v>
      </c>
      <c r="H125" s="351" t="s">
        <v>257</v>
      </c>
      <c r="I125" s="353"/>
      <c r="J125" s="118" t="s">
        <v>102</v>
      </c>
      <c r="K125" s="120" t="s">
        <v>62</v>
      </c>
    </row>
    <row r="126" spans="1:11" ht="15" thickBot="1">
      <c r="A126" s="173" t="str">
        <f t="shared" si="7"/>
        <v>7DCB</v>
      </c>
      <c r="B126" s="174">
        <f t="shared" ref="B126:B129" si="11">$B125+1</f>
        <v>103</v>
      </c>
      <c r="C126" s="130" t="s">
        <v>145</v>
      </c>
      <c r="D126" s="339"/>
      <c r="E126" s="166" t="s">
        <v>560</v>
      </c>
      <c r="F126" s="134" t="s">
        <v>621</v>
      </c>
      <c r="G126" s="339"/>
      <c r="H126" s="359"/>
      <c r="I126" s="353"/>
      <c r="J126" s="118" t="s">
        <v>102</v>
      </c>
      <c r="K126" s="120" t="s">
        <v>62</v>
      </c>
    </row>
    <row r="127" spans="1:11" ht="15" thickBot="1">
      <c r="A127" s="173" t="str">
        <f t="shared" si="7"/>
        <v>7DCC</v>
      </c>
      <c r="B127" s="174">
        <f t="shared" si="11"/>
        <v>104</v>
      </c>
      <c r="C127" s="130" t="s">
        <v>145</v>
      </c>
      <c r="D127" s="339"/>
      <c r="E127" s="166" t="s">
        <v>561</v>
      </c>
      <c r="F127" s="134" t="s">
        <v>643</v>
      </c>
      <c r="G127" s="339"/>
      <c r="H127" s="359"/>
      <c r="I127" s="353"/>
      <c r="J127" s="118" t="s">
        <v>102</v>
      </c>
      <c r="K127" s="120" t="s">
        <v>62</v>
      </c>
    </row>
    <row r="128" spans="1:11" ht="15" thickBot="1">
      <c r="A128" s="173" t="str">
        <f t="shared" si="7"/>
        <v>7DCD</v>
      </c>
      <c r="B128" s="174">
        <f t="shared" si="11"/>
        <v>105</v>
      </c>
      <c r="C128" s="130" t="s">
        <v>145</v>
      </c>
      <c r="D128" s="339"/>
      <c r="E128" s="166" t="s">
        <v>562</v>
      </c>
      <c r="F128" s="134" t="s">
        <v>644</v>
      </c>
      <c r="G128" s="340"/>
      <c r="H128" s="352"/>
      <c r="I128" s="353"/>
      <c r="J128" s="118" t="s">
        <v>102</v>
      </c>
      <c r="K128" s="120" t="s">
        <v>62</v>
      </c>
    </row>
    <row r="129" spans="1:11" ht="15" thickBot="1">
      <c r="A129" s="173" t="str">
        <f t="shared" si="7"/>
        <v>7DCE</v>
      </c>
      <c r="B129" s="174">
        <f t="shared" si="11"/>
        <v>106</v>
      </c>
      <c r="C129" s="130" t="s">
        <v>145</v>
      </c>
      <c r="D129" s="339"/>
      <c r="E129" s="166" t="s">
        <v>563</v>
      </c>
      <c r="F129" s="134" t="s">
        <v>645</v>
      </c>
      <c r="G129" s="341" t="s">
        <v>258</v>
      </c>
      <c r="H129" s="351" t="s">
        <v>259</v>
      </c>
      <c r="I129" s="353"/>
      <c r="J129" s="118" t="s">
        <v>102</v>
      </c>
      <c r="K129" s="120" t="s">
        <v>62</v>
      </c>
    </row>
    <row r="130" spans="1:11" ht="15" thickBot="1">
      <c r="A130" s="173" t="str">
        <f t="shared" si="7"/>
        <v>7DCF</v>
      </c>
      <c r="B130" s="174">
        <f t="shared" ref="B130:B133" si="12">$B129+1</f>
        <v>107</v>
      </c>
      <c r="C130" s="130" t="s">
        <v>145</v>
      </c>
      <c r="D130" s="339"/>
      <c r="E130" s="166" t="s">
        <v>564</v>
      </c>
      <c r="F130" s="134" t="s">
        <v>646</v>
      </c>
      <c r="G130" s="339"/>
      <c r="H130" s="359"/>
      <c r="I130" s="353"/>
      <c r="J130" s="118" t="s">
        <v>102</v>
      </c>
      <c r="K130" s="120" t="s">
        <v>62</v>
      </c>
    </row>
    <row r="131" spans="1:11" ht="15" thickBot="1">
      <c r="A131" s="173" t="str">
        <f t="shared" si="7"/>
        <v>7DD0</v>
      </c>
      <c r="B131" s="174">
        <f t="shared" si="12"/>
        <v>108</v>
      </c>
      <c r="C131" s="130" t="s">
        <v>145</v>
      </c>
      <c r="D131" s="339"/>
      <c r="E131" s="166" t="s">
        <v>565</v>
      </c>
      <c r="F131" s="134" t="s">
        <v>624</v>
      </c>
      <c r="G131" s="339"/>
      <c r="H131" s="359"/>
      <c r="I131" s="353"/>
      <c r="J131" s="118" t="s">
        <v>102</v>
      </c>
      <c r="K131" s="120" t="s">
        <v>62</v>
      </c>
    </row>
    <row r="132" spans="1:11" ht="15" thickBot="1">
      <c r="A132" s="173" t="str">
        <f t="shared" si="7"/>
        <v>7DD1</v>
      </c>
      <c r="B132" s="174">
        <f t="shared" si="12"/>
        <v>109</v>
      </c>
      <c r="C132" s="130" t="s">
        <v>145</v>
      </c>
      <c r="D132" s="339"/>
      <c r="E132" s="166" t="s">
        <v>566</v>
      </c>
      <c r="F132" s="134" t="s">
        <v>609</v>
      </c>
      <c r="G132" s="340"/>
      <c r="H132" s="352"/>
      <c r="I132" s="353"/>
      <c r="J132" s="118" t="s">
        <v>102</v>
      </c>
      <c r="K132" s="120" t="s">
        <v>62</v>
      </c>
    </row>
    <row r="133" spans="1:11" ht="15" thickBot="1">
      <c r="A133" s="173" t="str">
        <f t="shared" si="7"/>
        <v>7DD2</v>
      </c>
      <c r="B133" s="174">
        <f t="shared" si="12"/>
        <v>110</v>
      </c>
      <c r="C133" s="130" t="s">
        <v>145</v>
      </c>
      <c r="D133" s="339"/>
      <c r="E133" s="166" t="s">
        <v>567</v>
      </c>
      <c r="F133" s="134" t="s">
        <v>647</v>
      </c>
      <c r="G133" s="341" t="s">
        <v>260</v>
      </c>
      <c r="H133" s="351" t="s">
        <v>261</v>
      </c>
      <c r="I133" s="353"/>
      <c r="J133" s="118" t="s">
        <v>102</v>
      </c>
      <c r="K133" s="120" t="s">
        <v>62</v>
      </c>
    </row>
    <row r="134" spans="1:11" ht="15" thickBot="1">
      <c r="A134" s="173" t="str">
        <f t="shared" si="7"/>
        <v>7DD3</v>
      </c>
      <c r="B134" s="174">
        <f t="shared" ref="B134:B137" si="13">$B133+1</f>
        <v>111</v>
      </c>
      <c r="C134" s="130" t="s">
        <v>145</v>
      </c>
      <c r="D134" s="339"/>
      <c r="E134" s="166" t="s">
        <v>568</v>
      </c>
      <c r="F134" s="134" t="s">
        <v>593</v>
      </c>
      <c r="G134" s="339"/>
      <c r="H134" s="359"/>
      <c r="I134" s="353"/>
      <c r="J134" s="118" t="s">
        <v>102</v>
      </c>
      <c r="K134" s="120" t="s">
        <v>62</v>
      </c>
    </row>
    <row r="135" spans="1:11" ht="15" thickBot="1">
      <c r="A135" s="173" t="str">
        <f t="shared" si="7"/>
        <v>7DD4</v>
      </c>
      <c r="B135" s="174">
        <f t="shared" si="13"/>
        <v>112</v>
      </c>
      <c r="C135" s="130" t="s">
        <v>145</v>
      </c>
      <c r="D135" s="339"/>
      <c r="E135" s="166" t="s">
        <v>569</v>
      </c>
      <c r="F135" s="134" t="s">
        <v>593</v>
      </c>
      <c r="G135" s="339"/>
      <c r="H135" s="359"/>
      <c r="I135" s="353"/>
      <c r="J135" s="118" t="s">
        <v>102</v>
      </c>
      <c r="K135" s="120" t="s">
        <v>62</v>
      </c>
    </row>
    <row r="136" spans="1:11" ht="15" thickBot="1">
      <c r="A136" s="173" t="str">
        <f t="shared" si="7"/>
        <v>7DD5</v>
      </c>
      <c r="B136" s="174">
        <f t="shared" si="13"/>
        <v>113</v>
      </c>
      <c r="C136" s="130" t="s">
        <v>145</v>
      </c>
      <c r="D136" s="339"/>
      <c r="E136" s="166" t="s">
        <v>570</v>
      </c>
      <c r="F136" s="134" t="s">
        <v>593</v>
      </c>
      <c r="G136" s="340"/>
      <c r="H136" s="352"/>
      <c r="I136" s="353"/>
      <c r="J136" s="118" t="s">
        <v>102</v>
      </c>
      <c r="K136" s="120" t="s">
        <v>62</v>
      </c>
    </row>
    <row r="137" spans="1:11" ht="15" thickBot="1">
      <c r="A137" s="173" t="str">
        <f t="shared" si="7"/>
        <v>7DD6</v>
      </c>
      <c r="B137" s="174">
        <f t="shared" si="13"/>
        <v>114</v>
      </c>
      <c r="C137" s="130" t="s">
        <v>145</v>
      </c>
      <c r="D137" s="339"/>
      <c r="E137" s="166" t="s">
        <v>571</v>
      </c>
      <c r="F137" s="134" t="s">
        <v>593</v>
      </c>
      <c r="G137" s="341" t="s">
        <v>262</v>
      </c>
      <c r="H137" s="351" t="s">
        <v>124</v>
      </c>
      <c r="I137" s="353"/>
      <c r="J137" s="118" t="s">
        <v>102</v>
      </c>
      <c r="K137" s="120" t="s">
        <v>62</v>
      </c>
    </row>
    <row r="138" spans="1:11" ht="15" thickBot="1">
      <c r="A138" s="173" t="str">
        <f t="shared" si="7"/>
        <v>7DD7</v>
      </c>
      <c r="B138" s="174">
        <f t="shared" ref="B138:B141" si="14">$B137+1</f>
        <v>115</v>
      </c>
      <c r="C138" s="130" t="s">
        <v>145</v>
      </c>
      <c r="D138" s="339"/>
      <c r="E138" s="166" t="s">
        <v>572</v>
      </c>
      <c r="F138" s="134" t="s">
        <v>593</v>
      </c>
      <c r="G138" s="339"/>
      <c r="H138" s="359"/>
      <c r="I138" s="353"/>
      <c r="J138" s="118" t="s">
        <v>102</v>
      </c>
      <c r="K138" s="120" t="s">
        <v>62</v>
      </c>
    </row>
    <row r="139" spans="1:11" ht="15" thickBot="1">
      <c r="A139" s="173" t="str">
        <f t="shared" si="7"/>
        <v>7DD8</v>
      </c>
      <c r="B139" s="174">
        <f t="shared" si="14"/>
        <v>116</v>
      </c>
      <c r="C139" s="130" t="s">
        <v>145</v>
      </c>
      <c r="D139" s="339"/>
      <c r="E139" s="166" t="s">
        <v>573</v>
      </c>
      <c r="F139" s="134" t="s">
        <v>593</v>
      </c>
      <c r="G139" s="339"/>
      <c r="H139" s="359"/>
      <c r="I139" s="353"/>
      <c r="J139" s="118" t="s">
        <v>102</v>
      </c>
      <c r="K139" s="120" t="s">
        <v>62</v>
      </c>
    </row>
    <row r="140" spans="1:11" ht="15" thickBot="1">
      <c r="A140" s="173" t="str">
        <f t="shared" si="7"/>
        <v>7DD9</v>
      </c>
      <c r="B140" s="174">
        <f t="shared" si="14"/>
        <v>117</v>
      </c>
      <c r="C140" s="130" t="s">
        <v>145</v>
      </c>
      <c r="D140" s="339"/>
      <c r="E140" s="166" t="s">
        <v>574</v>
      </c>
      <c r="F140" s="134" t="s">
        <v>593</v>
      </c>
      <c r="G140" s="340"/>
      <c r="H140" s="352"/>
      <c r="I140" s="353"/>
      <c r="J140" s="118" t="s">
        <v>102</v>
      </c>
      <c r="K140" s="120" t="s">
        <v>62</v>
      </c>
    </row>
    <row r="141" spans="1:11" ht="15" thickBot="1">
      <c r="A141" s="173" t="str">
        <f t="shared" si="7"/>
        <v>7DDA</v>
      </c>
      <c r="B141" s="174">
        <f t="shared" si="14"/>
        <v>118</v>
      </c>
      <c r="C141" s="130" t="s">
        <v>145</v>
      </c>
      <c r="D141" s="339"/>
      <c r="E141" s="166" t="s">
        <v>575</v>
      </c>
      <c r="F141" s="134" t="s">
        <v>593</v>
      </c>
      <c r="G141" s="341" t="s">
        <v>263</v>
      </c>
      <c r="H141" s="351" t="s">
        <v>124</v>
      </c>
      <c r="I141" s="353"/>
      <c r="J141" s="118" t="s">
        <v>102</v>
      </c>
      <c r="K141" s="120" t="s">
        <v>62</v>
      </c>
    </row>
    <row r="142" spans="1:11" ht="15" thickBot="1">
      <c r="A142" s="173" t="str">
        <f t="shared" si="7"/>
        <v>7DDB</v>
      </c>
      <c r="B142" s="174">
        <f t="shared" ref="B142:B144" si="15">$B141+1</f>
        <v>119</v>
      </c>
      <c r="C142" s="130" t="s">
        <v>145</v>
      </c>
      <c r="D142" s="339"/>
      <c r="E142" s="166" t="s">
        <v>576</v>
      </c>
      <c r="F142" s="134" t="s">
        <v>593</v>
      </c>
      <c r="G142" s="339"/>
      <c r="H142" s="359"/>
      <c r="I142" s="353"/>
      <c r="J142" s="118" t="s">
        <v>102</v>
      </c>
      <c r="K142" s="120" t="s">
        <v>62</v>
      </c>
    </row>
    <row r="143" spans="1:11" ht="15" thickBot="1">
      <c r="A143" s="173" t="str">
        <f t="shared" si="7"/>
        <v>7DDC</v>
      </c>
      <c r="B143" s="174">
        <f t="shared" si="15"/>
        <v>120</v>
      </c>
      <c r="C143" s="130" t="s">
        <v>145</v>
      </c>
      <c r="D143" s="339"/>
      <c r="E143" s="166" t="s">
        <v>577</v>
      </c>
      <c r="F143" s="134" t="s">
        <v>593</v>
      </c>
      <c r="G143" s="339"/>
      <c r="H143" s="359"/>
      <c r="I143" s="353"/>
      <c r="J143" s="118" t="s">
        <v>102</v>
      </c>
      <c r="K143" s="120" t="s">
        <v>62</v>
      </c>
    </row>
    <row r="144" spans="1:11" ht="15" thickBot="1">
      <c r="A144" s="173" t="str">
        <f t="shared" si="7"/>
        <v>7DDD</v>
      </c>
      <c r="B144" s="174">
        <f t="shared" si="15"/>
        <v>121</v>
      </c>
      <c r="C144" s="130" t="s">
        <v>145</v>
      </c>
      <c r="D144" s="339"/>
      <c r="E144" s="166" t="s">
        <v>578</v>
      </c>
      <c r="F144" s="134" t="s">
        <v>593</v>
      </c>
      <c r="G144" s="340"/>
      <c r="H144" s="352"/>
      <c r="I144" s="353"/>
      <c r="J144" s="118" t="s">
        <v>102</v>
      </c>
      <c r="K144" s="120" t="s">
        <v>62</v>
      </c>
    </row>
    <row r="145" spans="1:11" ht="90" customHeight="1" thickBot="1">
      <c r="A145" s="173" t="str">
        <f t="shared" si="7"/>
        <v>7DDE</v>
      </c>
      <c r="B145" s="174">
        <f t="shared" ref="B145:B158" si="16">$B144+1</f>
        <v>122</v>
      </c>
      <c r="C145" s="130" t="s">
        <v>145</v>
      </c>
      <c r="D145" s="339"/>
      <c r="E145" s="166" t="s">
        <v>579</v>
      </c>
      <c r="F145" s="134" t="s">
        <v>652</v>
      </c>
      <c r="G145" s="341" t="s">
        <v>650</v>
      </c>
      <c r="H145" s="351" t="s">
        <v>264</v>
      </c>
      <c r="I145" s="353"/>
      <c r="J145" s="118" t="s">
        <v>102</v>
      </c>
      <c r="K145" s="120" t="s">
        <v>62</v>
      </c>
    </row>
    <row r="146" spans="1:11" ht="21.6" customHeight="1" thickBot="1">
      <c r="A146" s="173" t="str">
        <f t="shared" si="7"/>
        <v>7DDF</v>
      </c>
      <c r="B146" s="174">
        <f t="shared" si="16"/>
        <v>123</v>
      </c>
      <c r="C146" s="130" t="s">
        <v>145</v>
      </c>
      <c r="D146" s="339"/>
      <c r="E146" s="166" t="s">
        <v>580</v>
      </c>
      <c r="F146" s="134" t="s">
        <v>630</v>
      </c>
      <c r="G146" s="340"/>
      <c r="H146" s="352"/>
      <c r="I146" s="353"/>
      <c r="J146" s="118" t="s">
        <v>102</v>
      </c>
      <c r="K146" s="120" t="s">
        <v>62</v>
      </c>
    </row>
    <row r="147" spans="1:11" ht="15" thickBot="1">
      <c r="A147" s="173" t="str">
        <f t="shared" si="7"/>
        <v>7DE0</v>
      </c>
      <c r="B147" s="174">
        <f t="shared" si="16"/>
        <v>124</v>
      </c>
      <c r="C147" s="130" t="s">
        <v>145</v>
      </c>
      <c r="D147" s="339"/>
      <c r="E147" s="166" t="s">
        <v>581</v>
      </c>
      <c r="F147" s="134" t="s">
        <v>593</v>
      </c>
      <c r="G147" s="341" t="s">
        <v>650</v>
      </c>
      <c r="H147" s="351" t="s">
        <v>651</v>
      </c>
      <c r="I147" s="353"/>
      <c r="J147" s="118"/>
      <c r="K147" s="120"/>
    </row>
    <row r="148" spans="1:11" ht="15" thickBot="1">
      <c r="A148" s="173" t="str">
        <f t="shared" si="7"/>
        <v>7DE1</v>
      </c>
      <c r="B148" s="174">
        <f t="shared" si="16"/>
        <v>125</v>
      </c>
      <c r="C148" s="130" t="s">
        <v>145</v>
      </c>
      <c r="D148" s="339"/>
      <c r="E148" s="166" t="s">
        <v>582</v>
      </c>
      <c r="F148" s="134" t="s">
        <v>593</v>
      </c>
      <c r="G148" s="340"/>
      <c r="H148" s="352"/>
      <c r="I148" s="353"/>
      <c r="J148" s="118"/>
      <c r="K148" s="120"/>
    </row>
    <row r="149" spans="1:11" ht="15" thickBot="1">
      <c r="A149" s="173" t="str">
        <f t="shared" si="7"/>
        <v>7DE2</v>
      </c>
      <c r="B149" s="174">
        <f t="shared" si="16"/>
        <v>126</v>
      </c>
      <c r="C149" s="130" t="s">
        <v>145</v>
      </c>
      <c r="D149" s="339"/>
      <c r="E149" s="166" t="s">
        <v>587</v>
      </c>
      <c r="F149" s="134" t="s">
        <v>653</v>
      </c>
      <c r="G149" s="341" t="s">
        <v>265</v>
      </c>
      <c r="H149" s="351" t="s">
        <v>266</v>
      </c>
      <c r="I149" s="353"/>
      <c r="J149" s="118" t="s">
        <v>102</v>
      </c>
      <c r="K149" s="120" t="s">
        <v>62</v>
      </c>
    </row>
    <row r="150" spans="1:11" ht="15" thickBot="1">
      <c r="A150" s="173" t="str">
        <f t="shared" si="7"/>
        <v>7DE3</v>
      </c>
      <c r="B150" s="174">
        <f t="shared" si="16"/>
        <v>127</v>
      </c>
      <c r="C150" s="130" t="s">
        <v>145</v>
      </c>
      <c r="D150" s="339"/>
      <c r="E150" s="166" t="s">
        <v>583</v>
      </c>
      <c r="F150" s="134" t="s">
        <v>593</v>
      </c>
      <c r="G150" s="339"/>
      <c r="H150" s="359"/>
      <c r="I150" s="353"/>
      <c r="J150" s="118" t="s">
        <v>102</v>
      </c>
      <c r="K150" s="120" t="s">
        <v>62</v>
      </c>
    </row>
    <row r="151" spans="1:11" ht="15" thickBot="1">
      <c r="A151" s="173" t="str">
        <f t="shared" si="7"/>
        <v>7DE4</v>
      </c>
      <c r="B151" s="174">
        <f t="shared" si="16"/>
        <v>128</v>
      </c>
      <c r="C151" s="130" t="s">
        <v>145</v>
      </c>
      <c r="D151" s="339"/>
      <c r="E151" s="166" t="s">
        <v>584</v>
      </c>
      <c r="F151" s="134" t="s">
        <v>654</v>
      </c>
      <c r="G151" s="339"/>
      <c r="H151" s="359"/>
      <c r="I151" s="353"/>
      <c r="J151" s="118" t="s">
        <v>102</v>
      </c>
      <c r="K151" s="120" t="s">
        <v>62</v>
      </c>
    </row>
    <row r="152" spans="1:11" ht="15" thickBot="1">
      <c r="A152" s="173" t="str">
        <f t="shared" si="7"/>
        <v>7DE5</v>
      </c>
      <c r="B152" s="174">
        <f t="shared" si="16"/>
        <v>129</v>
      </c>
      <c r="C152" s="130" t="s">
        <v>145</v>
      </c>
      <c r="D152" s="339"/>
      <c r="E152" s="166" t="s">
        <v>585</v>
      </c>
      <c r="F152" s="134" t="s">
        <v>655</v>
      </c>
      <c r="G152" s="340"/>
      <c r="H152" s="352"/>
      <c r="I152" s="353"/>
      <c r="J152" s="118" t="s">
        <v>102</v>
      </c>
      <c r="K152" s="120" t="s">
        <v>62</v>
      </c>
    </row>
    <row r="153" spans="1:11" ht="15" thickBot="1">
      <c r="A153" s="173" t="str">
        <f t="shared" si="7"/>
        <v>7DE6</v>
      </c>
      <c r="B153" s="174">
        <f t="shared" si="16"/>
        <v>130</v>
      </c>
      <c r="C153" s="130" t="s">
        <v>145</v>
      </c>
      <c r="D153" s="339"/>
      <c r="E153" s="166" t="s">
        <v>586</v>
      </c>
      <c r="F153" s="134" t="s">
        <v>616</v>
      </c>
      <c r="G153" s="341" t="s">
        <v>267</v>
      </c>
      <c r="H153" s="351" t="s">
        <v>268</v>
      </c>
      <c r="I153" s="353"/>
      <c r="J153" s="118" t="s">
        <v>102</v>
      </c>
      <c r="K153" s="120" t="s">
        <v>62</v>
      </c>
    </row>
    <row r="154" spans="1:11" ht="15" thickBot="1">
      <c r="A154" s="173" t="str">
        <f t="shared" si="7"/>
        <v>7DE7</v>
      </c>
      <c r="B154" s="174">
        <f t="shared" si="16"/>
        <v>131</v>
      </c>
      <c r="C154" s="130" t="s">
        <v>145</v>
      </c>
      <c r="D154" s="339"/>
      <c r="E154" s="166" t="s">
        <v>588</v>
      </c>
      <c r="F154" s="134" t="s">
        <v>656</v>
      </c>
      <c r="G154" s="339"/>
      <c r="H154" s="359"/>
      <c r="I154" s="353"/>
      <c r="J154" s="118" t="s">
        <v>102</v>
      </c>
      <c r="K154" s="120" t="s">
        <v>62</v>
      </c>
    </row>
    <row r="155" spans="1:11" ht="15" thickBot="1">
      <c r="A155" s="173" t="str">
        <f t="shared" si="7"/>
        <v>7DE8</v>
      </c>
      <c r="B155" s="174">
        <f t="shared" si="16"/>
        <v>132</v>
      </c>
      <c r="C155" s="130" t="s">
        <v>145</v>
      </c>
      <c r="D155" s="339"/>
      <c r="E155" s="166" t="s">
        <v>648</v>
      </c>
      <c r="F155" s="188" t="s">
        <v>627</v>
      </c>
      <c r="G155" s="339"/>
      <c r="H155" s="359"/>
      <c r="I155" s="353"/>
      <c r="J155" s="118" t="s">
        <v>102</v>
      </c>
      <c r="K155" s="120" t="s">
        <v>62</v>
      </c>
    </row>
    <row r="156" spans="1:11" ht="15" thickBot="1">
      <c r="A156" s="173" t="str">
        <f t="shared" si="7"/>
        <v>7DE9</v>
      </c>
      <c r="B156" s="174">
        <f t="shared" si="16"/>
        <v>133</v>
      </c>
      <c r="C156" s="130" t="s">
        <v>145</v>
      </c>
      <c r="D156" s="339"/>
      <c r="E156" s="166" t="s">
        <v>649</v>
      </c>
      <c r="F156" s="186" t="s">
        <v>593</v>
      </c>
      <c r="G156" s="340"/>
      <c r="H156" s="352"/>
      <c r="I156" s="353"/>
      <c r="J156" s="118" t="s">
        <v>102</v>
      </c>
      <c r="K156" s="120" t="s">
        <v>62</v>
      </c>
    </row>
    <row r="157" spans="1:11" ht="15" thickBot="1">
      <c r="A157" s="173" t="str">
        <f t="shared" si="7"/>
        <v>7DEA</v>
      </c>
      <c r="B157" s="174">
        <f t="shared" si="16"/>
        <v>134</v>
      </c>
      <c r="C157" s="130" t="s">
        <v>145</v>
      </c>
      <c r="D157" s="339"/>
      <c r="E157" s="336" t="s">
        <v>231</v>
      </c>
      <c r="F157" s="114" t="str" cm="1">
        <f t="array" ref="F157">RIGHT(CalculateCRC16(F9:F156),2)</f>
        <v>3D</v>
      </c>
      <c r="G157" s="341" t="s">
        <v>232</v>
      </c>
      <c r="H157" s="351" t="str">
        <f>CONCATENATE("CRC from byte ",B9," to ",B157-1)</f>
        <v>CRC from byte 0 to 133</v>
      </c>
      <c r="I157" s="353"/>
      <c r="J157" s="118" t="s">
        <v>102</v>
      </c>
      <c r="K157" s="120" t="s">
        <v>62</v>
      </c>
    </row>
    <row r="158" spans="1:11" ht="15" thickBot="1">
      <c r="A158" s="173" t="str">
        <f t="shared" si="7"/>
        <v>7DEB</v>
      </c>
      <c r="B158" s="174">
        <f t="shared" si="16"/>
        <v>135</v>
      </c>
      <c r="C158" s="130" t="s">
        <v>145</v>
      </c>
      <c r="D158" s="340"/>
      <c r="E158" s="337"/>
      <c r="F158" s="114" t="str" cm="1">
        <f t="array" ref="F158">LEFT(CalculateCRC16(F9:F156),2)</f>
        <v>56</v>
      </c>
      <c r="G158" s="340"/>
      <c r="H158" s="352"/>
      <c r="I158" s="354"/>
      <c r="J158" s="118" t="s">
        <v>102</v>
      </c>
      <c r="K158" s="120" t="s">
        <v>62</v>
      </c>
    </row>
    <row r="159" spans="1:11" ht="15" thickBot="1">
      <c r="A159" s="173" t="str">
        <f t="shared" si="7"/>
        <v>7DEC</v>
      </c>
      <c r="B159" s="175"/>
      <c r="C159" s="130"/>
      <c r="D159" s="133"/>
      <c r="E159" s="114"/>
      <c r="F159" s="114"/>
      <c r="G159" s="114"/>
      <c r="H159" s="115"/>
      <c r="I159" s="133"/>
      <c r="J159" s="118" t="s">
        <v>102</v>
      </c>
      <c r="K159" s="120" t="s">
        <v>62</v>
      </c>
    </row>
    <row r="160" spans="1:11">
      <c r="A160" s="176" t="str">
        <f>DEC2HEX(HEX2DEC(Mapping!M55)-1)</f>
        <v>7FFF</v>
      </c>
      <c r="B160" s="177">
        <f>HEX2DEC(A160)-HEX2DEC(A159)+1</f>
        <v>532</v>
      </c>
      <c r="C160" s="139"/>
      <c r="D160" s="327" t="s">
        <v>657</v>
      </c>
      <c r="E160" s="328"/>
      <c r="F160" s="178"/>
      <c r="G160" s="128"/>
      <c r="H160" s="128"/>
      <c r="I160" s="128"/>
      <c r="J160" s="140"/>
      <c r="K160" s="140"/>
    </row>
    <row r="162" spans="6:6">
      <c r="F162" s="113"/>
    </row>
    <row r="163" spans="6:6">
      <c r="F163" s="113"/>
    </row>
    <row r="164" spans="6:6">
      <c r="F164" s="113"/>
    </row>
    <row r="165" spans="6:6">
      <c r="F165" s="113"/>
    </row>
    <row r="166" spans="6:6">
      <c r="F166" s="113"/>
    </row>
    <row r="167" spans="6:6">
      <c r="F167" s="113"/>
    </row>
    <row r="168" spans="6:6">
      <c r="F168" s="113"/>
    </row>
    <row r="169" spans="6:6">
      <c r="F169" s="113"/>
    </row>
    <row r="170" spans="6:6">
      <c r="F170" s="113"/>
    </row>
    <row r="171" spans="6:6">
      <c r="F171" s="113"/>
    </row>
    <row r="172" spans="6:6">
      <c r="F172" s="113"/>
    </row>
    <row r="173" spans="6:6">
      <c r="F173" s="113"/>
    </row>
    <row r="174" spans="6:6">
      <c r="F174" s="113"/>
    </row>
    <row r="175" spans="6:6">
      <c r="F175" s="113"/>
    </row>
    <row r="176" spans="6:6">
      <c r="F176" s="113"/>
    </row>
    <row r="177" spans="6:6">
      <c r="F177" s="113"/>
    </row>
    <row r="178" spans="6:6">
      <c r="F178" s="113"/>
    </row>
    <row r="179" spans="6:6">
      <c r="F179" s="113"/>
    </row>
    <row r="180" spans="6:6">
      <c r="F180" s="113"/>
    </row>
    <row r="181" spans="6:6">
      <c r="F181" s="113"/>
    </row>
    <row r="182" spans="6:6">
      <c r="F182" s="113"/>
    </row>
    <row r="183" spans="6:6">
      <c r="F183" s="113"/>
    </row>
    <row r="184" spans="6:6">
      <c r="F184" s="113"/>
    </row>
  </sheetData>
  <mergeCells count="103">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79:G80"/>
    <mergeCell ref="H79:H80"/>
    <mergeCell ref="G69:G70"/>
    <mergeCell ref="H69:H70"/>
    <mergeCell ref="G71:G72"/>
    <mergeCell ref="H71:H72"/>
    <mergeCell ref="G73:G74"/>
    <mergeCell ref="H73:H74"/>
    <mergeCell ref="H113:H116"/>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I41:I42"/>
    <mergeCell ref="H43:H44"/>
    <mergeCell ref="I43:I44"/>
    <mergeCell ref="G41:G42"/>
    <mergeCell ref="G43:G44"/>
    <mergeCell ref="G47:G48"/>
    <mergeCell ref="H47:H48"/>
    <mergeCell ref="H41:H42"/>
    <mergeCell ref="I47:I48"/>
    <mergeCell ref="D160:E160"/>
    <mergeCell ref="A20:A21"/>
    <mergeCell ref="B20:B21"/>
    <mergeCell ref="A27:A32"/>
    <mergeCell ref="B27:B32"/>
    <mergeCell ref="B23:B24"/>
    <mergeCell ref="E157:E158"/>
    <mergeCell ref="B13:B19"/>
    <mergeCell ref="A25:A26"/>
    <mergeCell ref="B25:B26"/>
    <mergeCell ref="D113:D158"/>
    <mergeCell ref="D9:D90"/>
    <mergeCell ref="A13:A19"/>
    <mergeCell ref="A23:A24"/>
    <mergeCell ref="D91:D112"/>
    <mergeCell ref="E9:E12"/>
    <mergeCell ref="E13:E19"/>
    <mergeCell ref="E20:E21"/>
    <mergeCell ref="E23:E24"/>
    <mergeCell ref="E25:E26"/>
    <mergeCell ref="E27:E32"/>
  </mergeCells>
  <phoneticPr fontId="4"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22860</xdr:colOff>
                    <xdr:row>5</xdr:row>
                    <xdr:rowOff>0</xdr:rowOff>
                  </from>
                  <to>
                    <xdr:col>6</xdr:col>
                    <xdr:colOff>7620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dimension ref="A1:I16"/>
  <sheetViews>
    <sheetView zoomScale="70" zoomScaleNormal="70" workbookViewId="0">
      <selection activeCell="H26" sqref="H26"/>
    </sheetView>
  </sheetViews>
  <sheetFormatPr defaultRowHeight="14.4"/>
  <cols>
    <col min="1" max="1" width="32.109375" customWidth="1"/>
    <col min="2" max="2" width="15.44140625" customWidth="1"/>
    <col min="3" max="3" width="25.44140625" customWidth="1"/>
    <col min="4" max="4" width="35.109375" customWidth="1"/>
    <col min="5" max="5" width="67.44140625" customWidth="1"/>
    <col min="6" max="6" width="67.88671875" customWidth="1"/>
    <col min="8" max="8" width="12.44140625" customWidth="1"/>
    <col min="9" max="9" width="12.21875" customWidth="1"/>
  </cols>
  <sheetData>
    <row r="1" spans="1:9" ht="15" customHeight="1">
      <c r="A1" t="s">
        <v>351</v>
      </c>
    </row>
    <row r="2" spans="1:9" ht="15" customHeight="1"/>
    <row r="3" spans="1:9" ht="15" customHeight="1"/>
    <row r="4" spans="1:9" ht="15" customHeight="1"/>
    <row r="5" spans="1:9" ht="15" customHeight="1" thickBot="1">
      <c r="A5" t="s">
        <v>44</v>
      </c>
      <c r="B5" t="s">
        <v>348</v>
      </c>
      <c r="C5" t="s">
        <v>349</v>
      </c>
      <c r="D5" t="s">
        <v>350</v>
      </c>
      <c r="F5" t="s">
        <v>353</v>
      </c>
    </row>
    <row r="6" spans="1:9" ht="15" customHeight="1" thickBot="1">
      <c r="A6" s="89" t="s">
        <v>58</v>
      </c>
      <c r="B6" s="89">
        <v>6</v>
      </c>
      <c r="C6" s="89" t="s">
        <v>347</v>
      </c>
      <c r="D6" s="92" t="s">
        <v>63</v>
      </c>
      <c r="E6" s="149" t="s">
        <v>352</v>
      </c>
      <c r="F6" s="150" t="s">
        <v>355</v>
      </c>
      <c r="H6" s="366" t="s">
        <v>661</v>
      </c>
      <c r="I6" s="367"/>
    </row>
    <row r="7" spans="1:9" ht="15" customHeight="1">
      <c r="A7" s="90" t="s">
        <v>64</v>
      </c>
      <c r="B7" s="90">
        <v>1</v>
      </c>
      <c r="C7" s="90" t="s">
        <v>65</v>
      </c>
      <c r="D7" s="93" t="s">
        <v>66</v>
      </c>
      <c r="E7" s="149" t="s">
        <v>361</v>
      </c>
      <c r="F7" s="150" t="s">
        <v>357</v>
      </c>
      <c r="H7" s="189" t="s">
        <v>662</v>
      </c>
      <c r="I7" s="190" t="s">
        <v>85</v>
      </c>
    </row>
    <row r="8" spans="1:9" ht="15" customHeight="1">
      <c r="A8" s="90" t="s">
        <v>67</v>
      </c>
      <c r="B8" s="90">
        <v>1</v>
      </c>
      <c r="C8" s="90" t="s">
        <v>65</v>
      </c>
      <c r="D8" s="93" t="s">
        <v>68</v>
      </c>
      <c r="E8" s="149" t="s">
        <v>361</v>
      </c>
      <c r="F8" s="150" t="s">
        <v>356</v>
      </c>
      <c r="H8" s="189" t="s">
        <v>663</v>
      </c>
      <c r="I8" s="190" t="s">
        <v>107</v>
      </c>
    </row>
    <row r="9" spans="1:9" ht="15" customHeight="1">
      <c r="A9" s="90" t="s">
        <v>69</v>
      </c>
      <c r="B9" s="90">
        <v>1</v>
      </c>
      <c r="C9" s="90" t="s">
        <v>65</v>
      </c>
      <c r="D9" s="93" t="s">
        <v>70</v>
      </c>
      <c r="E9" s="149" t="s">
        <v>361</v>
      </c>
      <c r="F9" s="150" t="s">
        <v>358</v>
      </c>
      <c r="H9" s="191" t="s">
        <v>664</v>
      </c>
      <c r="I9" s="192" t="s">
        <v>665</v>
      </c>
    </row>
    <row r="10" spans="1:9" ht="15" customHeight="1">
      <c r="A10" s="91" t="s">
        <v>666</v>
      </c>
      <c r="B10" s="91">
        <v>1</v>
      </c>
      <c r="C10" s="91" t="s">
        <v>667</v>
      </c>
      <c r="D10" s="93" t="s">
        <v>668</v>
      </c>
      <c r="E10" s="150" t="s">
        <v>669</v>
      </c>
      <c r="F10" s="150" t="s">
        <v>670</v>
      </c>
      <c r="H10" s="191" t="s">
        <v>671</v>
      </c>
      <c r="I10" s="192" t="s">
        <v>672</v>
      </c>
    </row>
    <row r="11" spans="1:9" ht="15" customHeight="1">
      <c r="A11" s="90" t="s">
        <v>71</v>
      </c>
      <c r="B11" s="90">
        <v>2</v>
      </c>
      <c r="C11" s="90" t="s">
        <v>72</v>
      </c>
      <c r="D11" s="93" t="s">
        <v>73</v>
      </c>
      <c r="E11" s="149" t="s">
        <v>360</v>
      </c>
      <c r="F11" s="150" t="s">
        <v>359</v>
      </c>
      <c r="H11" s="191" t="s">
        <v>673</v>
      </c>
      <c r="I11" s="192" t="s">
        <v>674</v>
      </c>
    </row>
    <row r="12" spans="1:9" ht="15" customHeight="1">
      <c r="H12" s="191" t="s">
        <v>675</v>
      </c>
      <c r="I12" s="192" t="s">
        <v>676</v>
      </c>
    </row>
    <row r="13" spans="1:9">
      <c r="H13" s="191" t="s">
        <v>677</v>
      </c>
      <c r="I13" s="192" t="s">
        <v>678</v>
      </c>
    </row>
    <row r="14" spans="1:9" ht="15" thickBot="1">
      <c r="H14" s="193" t="s">
        <v>679</v>
      </c>
      <c r="I14" s="194" t="s">
        <v>680</v>
      </c>
    </row>
    <row r="15" spans="1:9">
      <c r="A15" t="s">
        <v>354</v>
      </c>
    </row>
    <row r="16" spans="1:9" ht="14.7" customHeight="1"/>
  </sheetData>
  <mergeCells count="1">
    <mergeCell ref="H6:I6"/>
  </mergeCells>
  <phoneticPr fontId="3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dimension ref="C3:M8"/>
  <sheetViews>
    <sheetView workbookViewId="0">
      <selection activeCell="J19" sqref="J19"/>
    </sheetView>
  </sheetViews>
  <sheetFormatPr defaultRowHeight="14.4"/>
  <cols>
    <col min="4" max="4" width="10.44140625" customWidth="1"/>
    <col min="5" max="12" width="15.44140625" customWidth="1"/>
    <col min="13" max="13" width="50.44140625" customWidth="1"/>
  </cols>
  <sheetData>
    <row r="3" spans="3:13" ht="15" thickBot="1"/>
    <row r="4" spans="3:13" ht="15" customHeight="1">
      <c r="C4" s="88"/>
      <c r="D4" s="195"/>
      <c r="E4" s="196" t="s">
        <v>77</v>
      </c>
      <c r="F4" s="106" t="s">
        <v>78</v>
      </c>
      <c r="G4" s="106" t="s">
        <v>79</v>
      </c>
      <c r="H4" s="106" t="s">
        <v>80</v>
      </c>
      <c r="I4" s="106" t="s">
        <v>81</v>
      </c>
      <c r="J4" s="106" t="s">
        <v>82</v>
      </c>
      <c r="K4" s="106" t="s">
        <v>83</v>
      </c>
      <c r="L4" s="105" t="s">
        <v>84</v>
      </c>
    </row>
    <row r="5" spans="3:13" ht="15" customHeight="1">
      <c r="C5" s="88"/>
      <c r="D5" s="107" t="s">
        <v>681</v>
      </c>
      <c r="E5" s="90" t="s">
        <v>682</v>
      </c>
      <c r="F5" s="90" t="s">
        <v>683</v>
      </c>
      <c r="G5" s="90" t="s">
        <v>684</v>
      </c>
      <c r="H5" s="90" t="s">
        <v>685</v>
      </c>
      <c r="I5" s="90" t="s">
        <v>686</v>
      </c>
      <c r="J5" s="90" t="s">
        <v>687</v>
      </c>
      <c r="K5" s="90" t="s">
        <v>688</v>
      </c>
      <c r="L5" s="90" t="s">
        <v>689</v>
      </c>
      <c r="M5" s="197" t="s">
        <v>690</v>
      </c>
    </row>
    <row r="6" spans="3:13" ht="15" customHeight="1">
      <c r="C6" s="88"/>
      <c r="D6" s="107" t="s">
        <v>691</v>
      </c>
      <c r="E6" s="16">
        <v>0</v>
      </c>
      <c r="F6" s="16">
        <v>0</v>
      </c>
      <c r="G6" s="16">
        <v>0</v>
      </c>
      <c r="H6" s="16">
        <v>0</v>
      </c>
      <c r="I6" s="90" t="s">
        <v>692</v>
      </c>
      <c r="J6" s="90" t="s">
        <v>693</v>
      </c>
      <c r="K6" s="90" t="s">
        <v>694</v>
      </c>
      <c r="L6" s="90" t="s">
        <v>695</v>
      </c>
    </row>
    <row r="7" spans="3:13" ht="15" customHeight="1">
      <c r="C7" s="88"/>
      <c r="D7" s="107" t="s">
        <v>696</v>
      </c>
      <c r="E7" s="198" t="s">
        <v>682</v>
      </c>
      <c r="F7" s="198" t="s">
        <v>683</v>
      </c>
      <c r="G7" s="198" t="s">
        <v>684</v>
      </c>
      <c r="H7" s="198" t="s">
        <v>685</v>
      </c>
      <c r="I7" s="198" t="s">
        <v>686</v>
      </c>
      <c r="J7" s="198" t="s">
        <v>687</v>
      </c>
      <c r="K7" s="198" t="s">
        <v>688</v>
      </c>
      <c r="L7" s="198" t="s">
        <v>689</v>
      </c>
      <c r="M7" s="199" t="s">
        <v>697</v>
      </c>
    </row>
    <row r="8" spans="3:13" ht="15" customHeight="1">
      <c r="D8" s="107" t="s">
        <v>698</v>
      </c>
      <c r="E8" s="16">
        <v>0</v>
      </c>
      <c r="F8" s="16">
        <v>0</v>
      </c>
      <c r="G8" s="16">
        <v>0</v>
      </c>
      <c r="H8" s="16">
        <v>0</v>
      </c>
      <c r="I8" s="198" t="s">
        <v>692</v>
      </c>
      <c r="J8" s="198" t="s">
        <v>693</v>
      </c>
      <c r="K8" s="198" t="s">
        <v>694</v>
      </c>
      <c r="L8" s="198" t="s">
        <v>695</v>
      </c>
    </row>
  </sheetData>
  <phoneticPr fontId="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4"/>
  <cols>
    <col min="1" max="1" width="5.77734375" customWidth="1"/>
    <col min="2" max="2" width="35.21875" customWidth="1"/>
    <col min="3" max="3" width="10.77734375" customWidth="1"/>
    <col min="4" max="4" width="13" customWidth="1"/>
    <col min="5" max="6" width="8.88671875" customWidth="1"/>
    <col min="8" max="9" width="8.88671875" customWidth="1"/>
    <col min="12" max="12" width="86.109375" customWidth="1"/>
  </cols>
  <sheetData>
    <row r="2" spans="1:15" ht="15" thickBot="1"/>
    <row r="3" spans="1:15" ht="15" thickBot="1">
      <c r="A3" s="27">
        <v>1</v>
      </c>
      <c r="B3" s="29" t="s">
        <v>31</v>
      </c>
      <c r="C3" s="52" t="s">
        <v>269</v>
      </c>
      <c r="D3" s="53"/>
      <c r="E3" s="53"/>
      <c r="F3" s="53"/>
      <c r="G3" s="54"/>
      <c r="H3" s="368"/>
      <c r="I3" s="369"/>
      <c r="J3" s="369"/>
      <c r="K3" s="369"/>
    </row>
    <row r="4" spans="1:15" ht="15" thickBot="1">
      <c r="A4" s="28">
        <v>2</v>
      </c>
      <c r="B4" s="26" t="s">
        <v>33</v>
      </c>
      <c r="C4" s="55">
        <v>8</v>
      </c>
      <c r="D4" s="56"/>
      <c r="E4" s="56"/>
      <c r="F4" s="56"/>
      <c r="G4" s="57"/>
      <c r="H4" s="368"/>
      <c r="I4" s="369"/>
      <c r="J4" s="369"/>
      <c r="K4" s="369"/>
    </row>
    <row r="5" spans="1:15" ht="15" thickBot="1">
      <c r="A5" s="28">
        <v>3</v>
      </c>
      <c r="B5" s="26" t="s">
        <v>270</v>
      </c>
      <c r="C5" s="69" t="s">
        <v>271</v>
      </c>
      <c r="D5" s="56"/>
      <c r="E5" s="56"/>
      <c r="F5" s="56"/>
      <c r="G5" s="57"/>
      <c r="H5" s="368"/>
      <c r="I5" s="369"/>
      <c r="J5" s="369"/>
      <c r="K5" s="369"/>
    </row>
    <row r="6" spans="1:15" ht="15" thickBot="1">
      <c r="A6" s="28">
        <v>4</v>
      </c>
      <c r="B6" s="26" t="s">
        <v>272</v>
      </c>
      <c r="C6" s="52">
        <v>1</v>
      </c>
      <c r="D6" s="53"/>
      <c r="E6" s="53"/>
      <c r="F6" s="53"/>
      <c r="G6" s="54"/>
      <c r="H6" s="368"/>
      <c r="I6" s="369"/>
      <c r="J6" s="369"/>
      <c r="K6" s="369"/>
    </row>
    <row r="7" spans="1:15" ht="15" thickBot="1">
      <c r="A7" s="28">
        <v>5</v>
      </c>
      <c r="B7" s="26" t="s">
        <v>273</v>
      </c>
      <c r="C7" s="55">
        <v>8</v>
      </c>
      <c r="D7" s="56"/>
      <c r="E7" s="56"/>
      <c r="F7" s="56"/>
      <c r="G7" s="57"/>
      <c r="H7" s="368"/>
      <c r="I7" s="369"/>
      <c r="J7" s="369"/>
      <c r="K7" s="369"/>
    </row>
    <row r="8" spans="1:15" ht="15" thickBot="1">
      <c r="A8" s="28">
        <v>6</v>
      </c>
      <c r="B8" s="26" t="s">
        <v>274</v>
      </c>
      <c r="C8" s="55">
        <f>C7/2</f>
        <v>4</v>
      </c>
      <c r="D8" s="56"/>
      <c r="E8" s="56"/>
      <c r="F8" s="56"/>
      <c r="G8" s="57"/>
      <c r="H8" s="368"/>
      <c r="I8" s="369"/>
      <c r="J8" s="369"/>
      <c r="K8" s="369"/>
    </row>
    <row r="9" spans="1:15" ht="15" thickBot="1"/>
    <row r="10" spans="1:15" ht="43.8" thickBot="1">
      <c r="A10" s="24" t="s">
        <v>44</v>
      </c>
      <c r="B10" s="25" t="s">
        <v>45</v>
      </c>
      <c r="C10" s="25" t="s">
        <v>275</v>
      </c>
      <c r="D10" s="25" t="s">
        <v>276</v>
      </c>
      <c r="E10" s="25" t="s">
        <v>50</v>
      </c>
      <c r="F10" s="25" t="s">
        <v>52</v>
      </c>
      <c r="G10" s="25" t="s">
        <v>277</v>
      </c>
      <c r="H10" s="25" t="s">
        <v>278</v>
      </c>
      <c r="I10" s="25" t="s">
        <v>279</v>
      </c>
      <c r="J10" s="32" t="s">
        <v>280</v>
      </c>
      <c r="K10" s="34" t="s">
        <v>281</v>
      </c>
    </row>
    <row r="11" spans="1:15" ht="15" thickBot="1">
      <c r="A11" s="19">
        <v>1</v>
      </c>
      <c r="B11" s="21" t="s">
        <v>57</v>
      </c>
      <c r="C11" s="22">
        <v>12</v>
      </c>
      <c r="D11" s="22" t="s">
        <v>282</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282</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283</v>
      </c>
      <c r="C13" s="22">
        <v>4</v>
      </c>
      <c r="D13" s="22" t="s">
        <v>282</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284</v>
      </c>
      <c r="C14" s="22">
        <v>16</v>
      </c>
      <c r="D14" s="22" t="s">
        <v>282</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124</v>
      </c>
      <c r="C15" s="37">
        <f>2048-256-(SUM(C11:C14))</f>
        <v>1758</v>
      </c>
      <c r="D15" s="37" t="s">
        <v>282</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285</v>
      </c>
      <c r="C16" s="37">
        <v>256</v>
      </c>
      <c r="D16" s="37" t="s">
        <v>282</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286</v>
      </c>
      <c r="C17" s="17">
        <v>2</v>
      </c>
      <c r="D17" s="17" t="s">
        <v>287</v>
      </c>
      <c r="E17" s="17" t="s">
        <v>102</v>
      </c>
      <c r="F17" s="17" t="s">
        <v>62</v>
      </c>
      <c r="G17" s="17">
        <f t="shared" si="1"/>
        <v>2</v>
      </c>
      <c r="H17" s="38">
        <f t="shared" si="2"/>
        <v>4096</v>
      </c>
      <c r="I17" s="18" t="str">
        <f t="shared" si="0"/>
        <v>1000</v>
      </c>
      <c r="J17" s="18">
        <f>H17</f>
        <v>4096</v>
      </c>
      <c r="K17" s="18" t="str">
        <f t="shared" si="4"/>
        <v>1000</v>
      </c>
    </row>
    <row r="18" spans="1:11">
      <c r="A18" s="59"/>
      <c r="B18" s="62" t="s">
        <v>288</v>
      </c>
      <c r="C18" s="15">
        <v>1</v>
      </c>
      <c r="D18" s="15" t="s">
        <v>287</v>
      </c>
      <c r="E18" s="15" t="s">
        <v>102</v>
      </c>
      <c r="F18" s="15" t="s">
        <v>62</v>
      </c>
      <c r="G18" s="15">
        <f t="shared" si="1"/>
        <v>1</v>
      </c>
      <c r="H18" s="16">
        <f t="shared" si="2"/>
        <v>4098</v>
      </c>
      <c r="I18" s="16" t="str">
        <f t="shared" ref="I18:I40" si="5">DEC2HEX(H18,4)</f>
        <v>1002</v>
      </c>
      <c r="J18" s="16">
        <f t="shared" si="3"/>
        <v>4098</v>
      </c>
      <c r="K18" s="16" t="str">
        <f t="shared" si="4"/>
        <v>1002</v>
      </c>
    </row>
    <row r="19" spans="1:11">
      <c r="A19" s="59"/>
      <c r="B19" s="62" t="s">
        <v>289</v>
      </c>
      <c r="C19" s="15">
        <v>1</v>
      </c>
      <c r="D19" s="15" t="s">
        <v>287</v>
      </c>
      <c r="E19" s="15" t="s">
        <v>102</v>
      </c>
      <c r="F19" s="15" t="s">
        <v>62</v>
      </c>
      <c r="G19" s="15">
        <f t="shared" si="1"/>
        <v>1</v>
      </c>
      <c r="H19" s="16">
        <f t="shared" si="2"/>
        <v>4099</v>
      </c>
      <c r="I19" s="16" t="str">
        <f t="shared" si="5"/>
        <v>1003</v>
      </c>
      <c r="J19" s="16">
        <f t="shared" si="3"/>
        <v>4099</v>
      </c>
      <c r="K19" s="16" t="str">
        <f t="shared" si="4"/>
        <v>1003</v>
      </c>
    </row>
    <row r="20" spans="1:11">
      <c r="A20" s="59"/>
      <c r="B20" s="62" t="s">
        <v>290</v>
      </c>
      <c r="C20" s="15">
        <v>5</v>
      </c>
      <c r="D20" s="15" t="s">
        <v>287</v>
      </c>
      <c r="E20" s="15" t="s">
        <v>102</v>
      </c>
      <c r="F20" s="15" t="s">
        <v>62</v>
      </c>
      <c r="G20" s="15">
        <f t="shared" si="1"/>
        <v>5</v>
      </c>
      <c r="H20" s="16">
        <f t="shared" si="2"/>
        <v>4100</v>
      </c>
      <c r="I20" s="16" t="str">
        <f t="shared" si="5"/>
        <v>1004</v>
      </c>
      <c r="J20" s="16">
        <f t="shared" si="3"/>
        <v>4100</v>
      </c>
      <c r="K20" s="16" t="str">
        <f t="shared" si="4"/>
        <v>1004</v>
      </c>
    </row>
    <row r="21" spans="1:11" ht="15" thickBot="1">
      <c r="A21" s="60"/>
      <c r="B21" s="65" t="s">
        <v>291</v>
      </c>
      <c r="C21" s="66">
        <v>287</v>
      </c>
      <c r="D21" s="66" t="s">
        <v>287</v>
      </c>
      <c r="E21" s="66" t="s">
        <v>102</v>
      </c>
      <c r="F21" s="66" t="s">
        <v>102</v>
      </c>
      <c r="G21" s="66">
        <f t="shared" si="1"/>
        <v>287</v>
      </c>
      <c r="H21" s="67">
        <f t="shared" si="2"/>
        <v>4105</v>
      </c>
      <c r="I21" s="67" t="str">
        <f t="shared" si="5"/>
        <v>1009</v>
      </c>
      <c r="J21" s="67">
        <f t="shared" si="3"/>
        <v>4105</v>
      </c>
      <c r="K21" s="67" t="str">
        <f t="shared" si="4"/>
        <v>1009</v>
      </c>
    </row>
    <row r="22" spans="1:11">
      <c r="A22" s="58">
        <v>8</v>
      </c>
      <c r="B22" s="61" t="s">
        <v>286</v>
      </c>
      <c r="C22" s="17">
        <v>2</v>
      </c>
      <c r="D22" s="17" t="s">
        <v>287</v>
      </c>
      <c r="E22" s="17" t="s">
        <v>102</v>
      </c>
      <c r="F22" s="17" t="s">
        <v>62</v>
      </c>
      <c r="G22" s="17">
        <f t="shared" si="1"/>
        <v>2</v>
      </c>
      <c r="H22" s="18">
        <f t="shared" si="2"/>
        <v>4392</v>
      </c>
      <c r="I22" s="18" t="str">
        <f t="shared" si="5"/>
        <v>1128</v>
      </c>
      <c r="J22" s="18">
        <f t="shared" si="3"/>
        <v>4392</v>
      </c>
      <c r="K22" s="38" t="str">
        <f t="shared" ref="K22:K41" si="6">DEC2HEX(J22,4)</f>
        <v>1128</v>
      </c>
    </row>
    <row r="23" spans="1:11">
      <c r="A23" s="59"/>
      <c r="B23" s="62" t="s">
        <v>288</v>
      </c>
      <c r="C23" s="15">
        <v>1</v>
      </c>
      <c r="D23" s="15" t="s">
        <v>287</v>
      </c>
      <c r="E23" s="15" t="s">
        <v>102</v>
      </c>
      <c r="F23" s="15" t="s">
        <v>62</v>
      </c>
      <c r="G23" s="15">
        <f t="shared" si="1"/>
        <v>1</v>
      </c>
      <c r="H23" s="16">
        <f t="shared" si="2"/>
        <v>4394</v>
      </c>
      <c r="I23" s="16" t="str">
        <f t="shared" si="5"/>
        <v>112A</v>
      </c>
      <c r="J23" s="16">
        <f t="shared" si="3"/>
        <v>4394</v>
      </c>
      <c r="K23" s="20" t="str">
        <f t="shared" si="6"/>
        <v>112A</v>
      </c>
    </row>
    <row r="24" spans="1:11">
      <c r="A24" s="59"/>
      <c r="B24" s="62" t="s">
        <v>289</v>
      </c>
      <c r="C24" s="15">
        <v>1</v>
      </c>
      <c r="D24" s="15" t="s">
        <v>287</v>
      </c>
      <c r="E24" s="15" t="s">
        <v>102</v>
      </c>
      <c r="F24" s="15" t="s">
        <v>62</v>
      </c>
      <c r="G24" s="15">
        <f t="shared" si="1"/>
        <v>1</v>
      </c>
      <c r="H24" s="16">
        <f t="shared" si="2"/>
        <v>4395</v>
      </c>
      <c r="I24" s="16" t="str">
        <f t="shared" si="5"/>
        <v>112B</v>
      </c>
      <c r="J24" s="16">
        <f t="shared" si="3"/>
        <v>4395</v>
      </c>
      <c r="K24" s="20" t="str">
        <f t="shared" si="6"/>
        <v>112B</v>
      </c>
    </row>
    <row r="25" spans="1:11">
      <c r="A25" s="59"/>
      <c r="B25" s="62" t="s">
        <v>292</v>
      </c>
      <c r="C25" s="15">
        <v>5</v>
      </c>
      <c r="D25" s="15" t="s">
        <v>287</v>
      </c>
      <c r="E25" s="15" t="s">
        <v>102</v>
      </c>
      <c r="F25" s="15" t="s">
        <v>62</v>
      </c>
      <c r="G25" s="15">
        <f t="shared" si="1"/>
        <v>5</v>
      </c>
      <c r="H25" s="16">
        <f t="shared" si="2"/>
        <v>4396</v>
      </c>
      <c r="I25" s="16" t="str">
        <f t="shared" si="5"/>
        <v>112C</v>
      </c>
      <c r="J25" s="16">
        <f t="shared" si="3"/>
        <v>4396</v>
      </c>
      <c r="K25" s="20" t="str">
        <f t="shared" si="6"/>
        <v>112C</v>
      </c>
    </row>
    <row r="26" spans="1:11" ht="15" thickBot="1">
      <c r="A26" s="60"/>
      <c r="B26" s="65" t="s">
        <v>293</v>
      </c>
      <c r="C26" s="66">
        <v>287</v>
      </c>
      <c r="D26" s="66" t="s">
        <v>287</v>
      </c>
      <c r="E26" s="66" t="s">
        <v>102</v>
      </c>
      <c r="F26" s="66" t="s">
        <v>102</v>
      </c>
      <c r="G26" s="66">
        <f t="shared" si="1"/>
        <v>287</v>
      </c>
      <c r="H26" s="67">
        <f t="shared" si="2"/>
        <v>4401</v>
      </c>
      <c r="I26" s="67" t="str">
        <f t="shared" si="5"/>
        <v>1131</v>
      </c>
      <c r="J26" s="67">
        <f t="shared" si="3"/>
        <v>4401</v>
      </c>
      <c r="K26" s="67" t="str">
        <f t="shared" si="6"/>
        <v>1131</v>
      </c>
    </row>
    <row r="27" spans="1:11">
      <c r="A27" s="58">
        <v>9</v>
      </c>
      <c r="B27" s="61" t="s">
        <v>286</v>
      </c>
      <c r="C27" s="17">
        <v>2</v>
      </c>
      <c r="D27" s="17" t="s">
        <v>287</v>
      </c>
      <c r="E27" s="17" t="s">
        <v>102</v>
      </c>
      <c r="F27" s="17" t="s">
        <v>62</v>
      </c>
      <c r="G27" s="17">
        <f>C27*IF(D27="Redundant",2,IF(D27="Differential",2,1))</f>
        <v>2</v>
      </c>
      <c r="H27" s="18">
        <f t="shared" si="2"/>
        <v>4688</v>
      </c>
      <c r="I27" s="18" t="str">
        <f t="shared" si="5"/>
        <v>1250</v>
      </c>
      <c r="J27" s="18">
        <f t="shared" si="3"/>
        <v>4688</v>
      </c>
      <c r="K27" s="38" t="str">
        <f t="shared" si="6"/>
        <v>1250</v>
      </c>
    </row>
    <row r="28" spans="1:11">
      <c r="A28" s="59"/>
      <c r="B28" s="62" t="s">
        <v>288</v>
      </c>
      <c r="C28" s="15">
        <v>1</v>
      </c>
      <c r="D28" s="15" t="s">
        <v>287</v>
      </c>
      <c r="E28" s="15" t="s">
        <v>102</v>
      </c>
      <c r="F28" s="15" t="s">
        <v>62</v>
      </c>
      <c r="G28" s="15">
        <f>C28*IF(D28="Redundant",2,IF(D28="Differential",2,1))</f>
        <v>1</v>
      </c>
      <c r="H28" s="16">
        <f t="shared" si="2"/>
        <v>4690</v>
      </c>
      <c r="I28" s="16" t="str">
        <f t="shared" si="5"/>
        <v>1252</v>
      </c>
      <c r="J28" s="16">
        <f t="shared" si="3"/>
        <v>4690</v>
      </c>
      <c r="K28" s="20" t="str">
        <f t="shared" si="6"/>
        <v>1252</v>
      </c>
    </row>
    <row r="29" spans="1:11">
      <c r="A29" s="59"/>
      <c r="B29" s="62" t="s">
        <v>289</v>
      </c>
      <c r="C29" s="15">
        <v>1</v>
      </c>
      <c r="D29" s="15" t="s">
        <v>287</v>
      </c>
      <c r="E29" s="15" t="s">
        <v>102</v>
      </c>
      <c r="F29" s="15" t="s">
        <v>62</v>
      </c>
      <c r="G29" s="15">
        <f>C29*IF(D29="Redundant",2,IF(D29="Differential",2,1))</f>
        <v>1</v>
      </c>
      <c r="H29" s="16">
        <f t="shared" si="2"/>
        <v>4691</v>
      </c>
      <c r="I29" s="16" t="str">
        <f t="shared" si="5"/>
        <v>1253</v>
      </c>
      <c r="J29" s="16">
        <f t="shared" si="3"/>
        <v>4691</v>
      </c>
      <c r="K29" s="20" t="str">
        <f t="shared" si="6"/>
        <v>1253</v>
      </c>
    </row>
    <row r="30" spans="1:11">
      <c r="A30" s="59"/>
      <c r="B30" s="62" t="s">
        <v>294</v>
      </c>
      <c r="C30" s="15">
        <v>5</v>
      </c>
      <c r="D30" s="15" t="s">
        <v>287</v>
      </c>
      <c r="E30" s="15" t="s">
        <v>102</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295</v>
      </c>
      <c r="C31" s="66">
        <v>287</v>
      </c>
      <c r="D31" s="66" t="s">
        <v>287</v>
      </c>
      <c r="E31" s="66" t="s">
        <v>102</v>
      </c>
      <c r="F31" s="66" t="s">
        <v>102</v>
      </c>
      <c r="G31" s="66">
        <f>C31*IF(D31="Redundant",2,IF(D31="Differential",2,1))</f>
        <v>287</v>
      </c>
      <c r="H31" s="67">
        <f t="shared" si="2"/>
        <v>4697</v>
      </c>
      <c r="I31" s="67" t="str">
        <f t="shared" si="5"/>
        <v>1259</v>
      </c>
      <c r="J31" s="67">
        <f t="shared" si="3"/>
        <v>4697</v>
      </c>
      <c r="K31" s="67" t="str">
        <f t="shared" si="6"/>
        <v>1259</v>
      </c>
    </row>
    <row r="32" spans="1:11">
      <c r="A32" s="58">
        <v>10</v>
      </c>
      <c r="B32" s="61" t="s">
        <v>286</v>
      </c>
      <c r="C32" s="17">
        <v>2</v>
      </c>
      <c r="D32" s="17" t="s">
        <v>287</v>
      </c>
      <c r="E32" s="17" t="s">
        <v>102</v>
      </c>
      <c r="F32" s="17" t="s">
        <v>62</v>
      </c>
      <c r="G32" s="17">
        <f t="shared" si="1"/>
        <v>2</v>
      </c>
      <c r="H32" s="18">
        <f t="shared" si="2"/>
        <v>4984</v>
      </c>
      <c r="I32" s="18" t="str">
        <f t="shared" si="5"/>
        <v>1378</v>
      </c>
      <c r="J32" s="18">
        <f t="shared" si="3"/>
        <v>4984</v>
      </c>
      <c r="K32" s="38" t="str">
        <f t="shared" si="6"/>
        <v>1378</v>
      </c>
    </row>
    <row r="33" spans="1:11">
      <c r="A33" s="59"/>
      <c r="B33" s="62" t="s">
        <v>288</v>
      </c>
      <c r="C33" s="15">
        <v>1</v>
      </c>
      <c r="D33" s="15" t="s">
        <v>287</v>
      </c>
      <c r="E33" s="15" t="s">
        <v>102</v>
      </c>
      <c r="F33" s="15" t="s">
        <v>62</v>
      </c>
      <c r="G33" s="15">
        <f t="shared" si="1"/>
        <v>1</v>
      </c>
      <c r="H33" s="16">
        <f t="shared" si="2"/>
        <v>4986</v>
      </c>
      <c r="I33" s="16" t="str">
        <f t="shared" si="5"/>
        <v>137A</v>
      </c>
      <c r="J33" s="16">
        <f t="shared" si="3"/>
        <v>4986</v>
      </c>
      <c r="K33" s="20" t="str">
        <f t="shared" si="6"/>
        <v>137A</v>
      </c>
    </row>
    <row r="34" spans="1:11">
      <c r="A34" s="59"/>
      <c r="B34" s="62" t="s">
        <v>289</v>
      </c>
      <c r="C34" s="15">
        <v>1</v>
      </c>
      <c r="D34" s="15" t="s">
        <v>287</v>
      </c>
      <c r="E34" s="15" t="s">
        <v>102</v>
      </c>
      <c r="F34" s="15" t="s">
        <v>62</v>
      </c>
      <c r="G34" s="15">
        <f t="shared" si="1"/>
        <v>1</v>
      </c>
      <c r="H34" s="16">
        <f t="shared" si="2"/>
        <v>4987</v>
      </c>
      <c r="I34" s="16" t="str">
        <f t="shared" si="5"/>
        <v>137B</v>
      </c>
      <c r="J34" s="16">
        <f t="shared" si="3"/>
        <v>4987</v>
      </c>
      <c r="K34" s="20" t="str">
        <f t="shared" si="6"/>
        <v>137B</v>
      </c>
    </row>
    <row r="35" spans="1:11" ht="15" thickBot="1">
      <c r="A35" s="60"/>
      <c r="B35" s="65" t="s">
        <v>296</v>
      </c>
      <c r="C35" s="66">
        <v>32</v>
      </c>
      <c r="D35" s="66" t="s">
        <v>287</v>
      </c>
      <c r="E35" s="66" t="s">
        <v>102</v>
      </c>
      <c r="F35" s="66" t="s">
        <v>102</v>
      </c>
      <c r="G35" s="66">
        <f t="shared" si="1"/>
        <v>32</v>
      </c>
      <c r="H35" s="67">
        <f t="shared" si="2"/>
        <v>4988</v>
      </c>
      <c r="I35" s="67" t="str">
        <f t="shared" si="5"/>
        <v>137C</v>
      </c>
      <c r="J35" s="67">
        <f t="shared" si="3"/>
        <v>4988</v>
      </c>
      <c r="K35" s="67" t="str">
        <f t="shared" si="6"/>
        <v>137C</v>
      </c>
    </row>
    <row r="36" spans="1:11">
      <c r="A36" s="58">
        <v>11</v>
      </c>
      <c r="B36" s="61" t="s">
        <v>286</v>
      </c>
      <c r="C36" s="17">
        <v>2</v>
      </c>
      <c r="D36" s="17" t="s">
        <v>287</v>
      </c>
      <c r="E36" s="17" t="s">
        <v>102</v>
      </c>
      <c r="F36" s="17" t="s">
        <v>62</v>
      </c>
      <c r="G36" s="17">
        <f t="shared" si="1"/>
        <v>2</v>
      </c>
      <c r="H36" s="18">
        <f t="shared" si="2"/>
        <v>5020</v>
      </c>
      <c r="I36" s="18" t="str">
        <f t="shared" si="5"/>
        <v>139C</v>
      </c>
      <c r="J36" s="18">
        <f t="shared" si="3"/>
        <v>5020</v>
      </c>
      <c r="K36" s="38" t="str">
        <f t="shared" si="6"/>
        <v>139C</v>
      </c>
    </row>
    <row r="37" spans="1:11">
      <c r="A37" s="59"/>
      <c r="B37" s="62" t="s">
        <v>288</v>
      </c>
      <c r="C37" s="15">
        <v>1</v>
      </c>
      <c r="D37" s="15" t="s">
        <v>287</v>
      </c>
      <c r="E37" s="15" t="s">
        <v>102</v>
      </c>
      <c r="F37" s="15" t="s">
        <v>62</v>
      </c>
      <c r="G37" s="15">
        <f t="shared" si="1"/>
        <v>1</v>
      </c>
      <c r="H37" s="16">
        <f t="shared" si="2"/>
        <v>5022</v>
      </c>
      <c r="I37" s="16" t="str">
        <f t="shared" si="5"/>
        <v>139E</v>
      </c>
      <c r="J37" s="16">
        <f t="shared" si="3"/>
        <v>5022</v>
      </c>
      <c r="K37" s="20" t="str">
        <f t="shared" si="6"/>
        <v>139E</v>
      </c>
    </row>
    <row r="38" spans="1:11">
      <c r="A38" s="59"/>
      <c r="B38" s="62" t="s">
        <v>289</v>
      </c>
      <c r="C38" s="15">
        <v>1</v>
      </c>
      <c r="D38" s="15" t="s">
        <v>287</v>
      </c>
      <c r="E38" s="15" t="s">
        <v>102</v>
      </c>
      <c r="F38" s="15" t="s">
        <v>62</v>
      </c>
      <c r="G38" s="15">
        <f t="shared" si="1"/>
        <v>1</v>
      </c>
      <c r="H38" s="16">
        <f t="shared" si="2"/>
        <v>5023</v>
      </c>
      <c r="I38" s="16" t="str">
        <f t="shared" si="5"/>
        <v>139F</v>
      </c>
      <c r="J38" s="16">
        <f t="shared" si="3"/>
        <v>5023</v>
      </c>
      <c r="K38" s="20" t="str">
        <f t="shared" si="6"/>
        <v>139F</v>
      </c>
    </row>
    <row r="39" spans="1:11" ht="15" thickBot="1">
      <c r="A39" s="60"/>
      <c r="B39" s="65" t="s">
        <v>297</v>
      </c>
      <c r="C39" s="66">
        <v>1360</v>
      </c>
      <c r="D39" s="66" t="s">
        <v>287</v>
      </c>
      <c r="E39" s="66" t="s">
        <v>102</v>
      </c>
      <c r="F39" s="66" t="s">
        <v>102</v>
      </c>
      <c r="G39" s="66">
        <f t="shared" si="1"/>
        <v>1360</v>
      </c>
      <c r="H39" s="67">
        <f t="shared" si="2"/>
        <v>5024</v>
      </c>
      <c r="I39" s="67" t="str">
        <f t="shared" si="5"/>
        <v>13A0</v>
      </c>
      <c r="J39" s="67">
        <f t="shared" si="3"/>
        <v>5024</v>
      </c>
      <c r="K39" s="67" t="str">
        <f t="shared" si="6"/>
        <v>13A0</v>
      </c>
    </row>
    <row r="40" spans="1:11" ht="15" thickBot="1">
      <c r="A40" s="68">
        <v>12</v>
      </c>
      <c r="B40" s="63" t="s">
        <v>298</v>
      </c>
      <c r="C40" s="22">
        <v>2</v>
      </c>
      <c r="D40" s="22" t="s">
        <v>282</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299</v>
      </c>
      <c r="C41" s="22">
        <f>(4*1024)-(H16+G16)/2</f>
        <v>2048</v>
      </c>
      <c r="D41" s="22" t="s">
        <v>282</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7"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4"/>
  <sheetData>
    <row r="1" spans="1:7">
      <c r="A1" t="s">
        <v>300</v>
      </c>
      <c r="B1" t="s">
        <v>301</v>
      </c>
      <c r="C1" t="s">
        <v>302</v>
      </c>
      <c r="D1" t="s">
        <v>303</v>
      </c>
      <c r="E1" t="s">
        <v>304</v>
      </c>
      <c r="F1" t="s">
        <v>305</v>
      </c>
      <c r="G1" t="s">
        <v>306</v>
      </c>
    </row>
    <row r="2" spans="1:7">
      <c r="A2" t="s">
        <v>307</v>
      </c>
      <c r="B2" t="s">
        <v>308</v>
      </c>
      <c r="C2" t="s">
        <v>309</v>
      </c>
      <c r="D2" t="s">
        <v>310</v>
      </c>
      <c r="E2" t="s">
        <v>311</v>
      </c>
      <c r="F2">
        <v>19</v>
      </c>
      <c r="G2" t="s">
        <v>312</v>
      </c>
    </row>
    <row r="3" spans="1:7">
      <c r="A3" t="s">
        <v>313</v>
      </c>
      <c r="B3" t="s">
        <v>314</v>
      </c>
      <c r="C3" t="s">
        <v>315</v>
      </c>
      <c r="D3" t="s">
        <v>316</v>
      </c>
      <c r="E3" t="s">
        <v>317</v>
      </c>
      <c r="F3">
        <v>21</v>
      </c>
      <c r="G3" t="s">
        <v>318</v>
      </c>
    </row>
  </sheetData>
  <phoneticPr fontId="37"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4"/>
  <sheetData/>
  <phoneticPr fontId="37"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4"/>
  <cols>
    <col min="4" max="19" width="2.77734375" style="43" customWidth="1"/>
    <col min="20" max="20" width="11.44140625" customWidth="1"/>
  </cols>
  <sheetData>
    <row r="4" spans="2:20" ht="15" thickBot="1"/>
    <row r="5" spans="2:20" ht="15" thickBot="1">
      <c r="C5" s="14" t="s">
        <v>319</v>
      </c>
      <c r="D5" s="372" t="s">
        <v>320</v>
      </c>
      <c r="E5" s="373"/>
      <c r="F5" s="373"/>
      <c r="G5" s="374"/>
      <c r="H5" s="372" t="s">
        <v>321</v>
      </c>
      <c r="I5" s="373"/>
      <c r="J5" s="373"/>
      <c r="K5" s="374"/>
      <c r="L5" s="372" t="s">
        <v>322</v>
      </c>
      <c r="M5" s="373"/>
      <c r="N5" s="373"/>
      <c r="O5" s="374"/>
      <c r="P5" s="372" t="s">
        <v>323</v>
      </c>
      <c r="Q5" s="373"/>
      <c r="R5" s="373"/>
      <c r="S5" s="374"/>
    </row>
    <row r="6" spans="2:20" ht="15" thickBot="1">
      <c r="C6" s="14" t="s">
        <v>324</v>
      </c>
      <c r="D6" s="44">
        <v>0</v>
      </c>
      <c r="E6" s="45">
        <v>1</v>
      </c>
      <c r="F6" s="45">
        <v>2</v>
      </c>
      <c r="G6" s="41">
        <v>3</v>
      </c>
      <c r="H6" s="44">
        <v>4</v>
      </c>
      <c r="I6" s="45">
        <v>5</v>
      </c>
      <c r="J6" s="45">
        <v>6</v>
      </c>
      <c r="K6" s="41">
        <v>7</v>
      </c>
      <c r="L6" s="44">
        <v>8</v>
      </c>
      <c r="M6" s="45">
        <v>9</v>
      </c>
      <c r="N6" s="45" t="s">
        <v>325</v>
      </c>
      <c r="O6" s="41" t="s">
        <v>326</v>
      </c>
      <c r="P6" s="44" t="s">
        <v>327</v>
      </c>
      <c r="Q6" s="45" t="s">
        <v>328</v>
      </c>
      <c r="R6" s="45" t="s">
        <v>329</v>
      </c>
      <c r="S6" s="41" t="s">
        <v>330</v>
      </c>
      <c r="T6" s="43" t="s">
        <v>331</v>
      </c>
    </row>
    <row r="7" spans="2:20">
      <c r="B7" s="370" t="s">
        <v>332</v>
      </c>
      <c r="C7" s="375">
        <v>0</v>
      </c>
      <c r="D7" s="50" t="s">
        <v>333</v>
      </c>
      <c r="E7" s="45"/>
      <c r="F7" s="45"/>
      <c r="G7" s="41"/>
      <c r="H7" s="44"/>
      <c r="I7" s="45"/>
      <c r="J7" s="45"/>
      <c r="K7" s="41"/>
      <c r="L7" s="44"/>
      <c r="M7" s="45"/>
      <c r="N7" s="45"/>
      <c r="O7" s="41"/>
      <c r="P7" s="44"/>
      <c r="Q7" s="45"/>
      <c r="R7" s="45"/>
      <c r="S7" s="41"/>
    </row>
    <row r="8" spans="2:20" ht="15" thickBot="1">
      <c r="B8" s="371"/>
      <c r="C8" s="376"/>
      <c r="D8" s="51" t="s">
        <v>172</v>
      </c>
      <c r="E8" s="49"/>
      <c r="F8" s="49"/>
      <c r="G8" s="33"/>
      <c r="H8" s="48"/>
      <c r="I8" s="49"/>
      <c r="J8" s="49"/>
      <c r="K8" s="33"/>
      <c r="L8" s="48"/>
      <c r="M8" s="49"/>
      <c r="N8" s="49"/>
      <c r="O8" s="33"/>
      <c r="P8" s="48"/>
      <c r="Q8" s="49"/>
      <c r="R8" s="49"/>
      <c r="S8" s="33"/>
    </row>
    <row r="9" spans="2:20">
      <c r="B9" s="370" t="s">
        <v>332</v>
      </c>
      <c r="C9" s="375">
        <v>1</v>
      </c>
      <c r="D9" s="50" t="s">
        <v>334</v>
      </c>
      <c r="E9" s="45"/>
      <c r="F9" s="45"/>
      <c r="G9" s="41"/>
      <c r="H9" s="44"/>
      <c r="I9" s="45"/>
      <c r="J9" s="45"/>
      <c r="K9" s="41"/>
      <c r="L9" s="44"/>
      <c r="M9" s="45"/>
      <c r="N9" s="45"/>
      <c r="O9" s="41"/>
      <c r="P9" s="44"/>
      <c r="Q9" s="45"/>
      <c r="R9" s="45"/>
      <c r="S9" s="41"/>
    </row>
    <row r="10" spans="2:20" ht="15" thickBot="1">
      <c r="B10" s="371"/>
      <c r="C10" s="376">
        <v>1</v>
      </c>
      <c r="D10" s="51" t="s">
        <v>165</v>
      </c>
      <c r="E10" s="49"/>
      <c r="F10" s="49"/>
      <c r="G10" s="33"/>
      <c r="H10" s="48"/>
      <c r="I10" s="49"/>
      <c r="J10" s="49"/>
      <c r="K10" s="33"/>
      <c r="L10" s="48"/>
      <c r="M10" s="49"/>
      <c r="N10" s="49"/>
      <c r="O10" s="33"/>
      <c r="P10" s="48"/>
      <c r="Q10" s="49"/>
      <c r="R10" s="49"/>
      <c r="S10" s="33"/>
    </row>
    <row r="11" spans="2:20">
      <c r="B11" s="370" t="s">
        <v>332</v>
      </c>
      <c r="C11" s="375">
        <v>2</v>
      </c>
      <c r="D11" s="50" t="s">
        <v>335</v>
      </c>
      <c r="E11" s="45"/>
      <c r="F11" s="45"/>
      <c r="G11" s="41"/>
      <c r="H11" s="44"/>
      <c r="I11" s="45"/>
      <c r="J11" s="45"/>
      <c r="K11" s="41"/>
      <c r="L11" s="44"/>
      <c r="M11" s="45"/>
      <c r="N11" s="45"/>
      <c r="O11" s="41"/>
      <c r="P11" s="44"/>
      <c r="Q11" s="45"/>
      <c r="R11" s="45"/>
      <c r="S11" s="41"/>
    </row>
    <row r="12" spans="2:20" ht="15" thickBot="1">
      <c r="B12" s="371"/>
      <c r="C12" s="376">
        <v>2</v>
      </c>
      <c r="D12" s="51" t="s">
        <v>336</v>
      </c>
      <c r="E12" s="49"/>
      <c r="F12" s="49"/>
      <c r="G12" s="33"/>
      <c r="H12" s="48"/>
      <c r="I12" s="49"/>
      <c r="J12" s="49"/>
      <c r="K12" s="33"/>
      <c r="L12" s="48"/>
      <c r="M12" s="49"/>
      <c r="N12" s="49"/>
      <c r="O12" s="33"/>
      <c r="P12" s="48"/>
      <c r="Q12" s="49"/>
      <c r="R12" s="49"/>
      <c r="S12" s="33"/>
    </row>
    <row r="13" spans="2:20">
      <c r="B13" s="370" t="s">
        <v>332</v>
      </c>
      <c r="C13" s="375">
        <v>3</v>
      </c>
      <c r="D13" s="50" t="s">
        <v>337</v>
      </c>
      <c r="E13" s="45"/>
      <c r="F13" s="45"/>
      <c r="G13" s="41"/>
      <c r="H13" s="44"/>
      <c r="I13" s="45"/>
      <c r="J13" s="45"/>
      <c r="K13" s="41"/>
      <c r="L13" s="44"/>
      <c r="M13" s="45"/>
      <c r="N13" s="45"/>
      <c r="O13" s="41"/>
      <c r="P13" s="44"/>
      <c r="Q13" s="45"/>
      <c r="R13" s="45"/>
      <c r="S13" s="41"/>
    </row>
    <row r="14" spans="2:20" ht="15" thickBot="1">
      <c r="B14" s="371"/>
      <c r="C14" s="376">
        <v>3</v>
      </c>
      <c r="D14" s="51" t="s">
        <v>338</v>
      </c>
      <c r="E14" s="49"/>
      <c r="F14" s="49"/>
      <c r="G14" s="33"/>
      <c r="H14" s="48"/>
      <c r="I14" s="49"/>
      <c r="J14" s="49"/>
      <c r="K14" s="33"/>
      <c r="L14" s="48"/>
      <c r="M14" s="49"/>
      <c r="N14" s="49"/>
      <c r="O14" s="33"/>
      <c r="P14" s="48"/>
      <c r="Q14" s="49"/>
      <c r="R14" s="49"/>
      <c r="S14" s="33"/>
    </row>
    <row r="15" spans="2:20">
      <c r="B15" s="370" t="s">
        <v>332</v>
      </c>
      <c r="C15" s="375">
        <v>4</v>
      </c>
      <c r="D15" s="50" t="s">
        <v>339</v>
      </c>
      <c r="E15" s="45"/>
      <c r="F15" s="45"/>
      <c r="G15" s="41"/>
      <c r="H15" s="44"/>
      <c r="I15" s="45"/>
      <c r="J15" s="45"/>
      <c r="K15" s="41"/>
      <c r="L15" s="44"/>
      <c r="M15" s="45"/>
      <c r="N15" s="45"/>
      <c r="O15" s="41"/>
      <c r="P15" s="44"/>
      <c r="Q15" s="45"/>
      <c r="R15" s="45"/>
      <c r="S15" s="41"/>
    </row>
    <row r="16" spans="2:20" ht="15" thickBot="1">
      <c r="B16" s="371"/>
      <c r="C16" s="376">
        <v>4</v>
      </c>
      <c r="D16" s="51" t="s">
        <v>340</v>
      </c>
      <c r="E16" s="49"/>
      <c r="F16" s="49"/>
      <c r="G16" s="33"/>
      <c r="H16" s="48"/>
      <c r="I16" s="49"/>
      <c r="J16" s="49"/>
      <c r="K16" s="33"/>
      <c r="L16" s="48"/>
      <c r="M16" s="49"/>
      <c r="N16" s="49"/>
      <c r="O16" s="33"/>
      <c r="P16" s="48"/>
      <c r="Q16" s="49"/>
      <c r="R16" s="49"/>
      <c r="S16" s="33"/>
    </row>
    <row r="17" spans="2:19">
      <c r="B17" s="370" t="s">
        <v>332</v>
      </c>
      <c r="C17" s="375">
        <v>5</v>
      </c>
      <c r="D17" s="50" t="s">
        <v>341</v>
      </c>
      <c r="E17" s="45"/>
      <c r="F17" s="45"/>
      <c r="G17" s="41"/>
      <c r="H17" s="44"/>
      <c r="I17" s="45"/>
      <c r="J17" s="45"/>
      <c r="K17" s="41"/>
      <c r="L17" s="44"/>
      <c r="M17" s="45"/>
      <c r="N17" s="45"/>
      <c r="O17" s="41"/>
      <c r="P17" s="44"/>
      <c r="Q17" s="45"/>
      <c r="R17" s="45"/>
      <c r="S17" s="41"/>
    </row>
    <row r="18" spans="2:19" ht="15" thickBot="1">
      <c r="B18" s="371"/>
      <c r="C18" s="376">
        <v>5</v>
      </c>
      <c r="D18" s="51" t="s">
        <v>342</v>
      </c>
      <c r="E18" s="49"/>
      <c r="F18" s="49"/>
      <c r="G18" s="33"/>
      <c r="H18" s="48"/>
      <c r="I18" s="49"/>
      <c r="J18" s="49"/>
      <c r="K18" s="33"/>
      <c r="L18" s="48"/>
      <c r="M18" s="49"/>
      <c r="N18" s="49"/>
      <c r="O18" s="33"/>
      <c r="P18" s="48"/>
      <c r="Q18" s="49"/>
      <c r="R18" s="49"/>
      <c r="S18" s="33"/>
    </row>
    <row r="19" spans="2:19">
      <c r="B19" s="370" t="s">
        <v>332</v>
      </c>
      <c r="C19" s="375">
        <v>6</v>
      </c>
      <c r="D19" s="50" t="s">
        <v>343</v>
      </c>
      <c r="E19" s="45"/>
      <c r="F19" s="45"/>
      <c r="G19" s="41"/>
      <c r="H19" s="44"/>
      <c r="I19" s="45"/>
      <c r="J19" s="45"/>
      <c r="K19" s="41"/>
      <c r="L19" s="44"/>
      <c r="M19" s="45"/>
      <c r="N19" s="45"/>
      <c r="O19" s="41"/>
      <c r="P19" s="44"/>
      <c r="Q19" s="45"/>
      <c r="R19" s="45"/>
      <c r="S19" s="41"/>
    </row>
    <row r="20" spans="2:19" ht="15" thickBot="1">
      <c r="B20" s="371"/>
      <c r="C20" s="376">
        <v>6</v>
      </c>
      <c r="D20" s="51" t="s">
        <v>344</v>
      </c>
      <c r="E20" s="49"/>
      <c r="F20" s="49"/>
      <c r="G20" s="33"/>
      <c r="H20" s="48"/>
      <c r="I20" s="49"/>
      <c r="J20" s="49"/>
      <c r="K20" s="33"/>
      <c r="L20" s="48"/>
      <c r="M20" s="49"/>
      <c r="N20" s="49"/>
      <c r="O20" s="33"/>
      <c r="P20" s="48"/>
      <c r="Q20" s="49"/>
      <c r="R20" s="49"/>
      <c r="S20" s="33"/>
    </row>
    <row r="21" spans="2:19">
      <c r="B21" s="370" t="s">
        <v>332</v>
      </c>
      <c r="C21" s="375">
        <v>7</v>
      </c>
      <c r="D21" s="50" t="s">
        <v>345</v>
      </c>
      <c r="E21" s="45"/>
      <c r="F21" s="45"/>
      <c r="G21" s="41"/>
      <c r="H21" s="44"/>
      <c r="I21" s="45"/>
      <c r="J21" s="45"/>
      <c r="K21" s="41"/>
      <c r="L21" s="44"/>
      <c r="M21" s="45"/>
      <c r="N21" s="45"/>
      <c r="O21" s="41"/>
      <c r="P21" s="44"/>
      <c r="Q21" s="45"/>
      <c r="R21" s="45"/>
      <c r="S21" s="41"/>
    </row>
    <row r="22" spans="2:19" ht="15" thickBot="1">
      <c r="B22" s="371"/>
      <c r="C22" s="376">
        <v>7</v>
      </c>
      <c r="D22" s="51" t="s">
        <v>346</v>
      </c>
      <c r="E22" s="49"/>
      <c r="F22" s="49"/>
      <c r="G22" s="33"/>
      <c r="H22" s="48"/>
      <c r="I22" s="49"/>
      <c r="J22" s="49"/>
      <c r="K22" s="33"/>
      <c r="L22" s="48"/>
      <c r="M22" s="49"/>
      <c r="N22" s="49"/>
      <c r="O22" s="33"/>
      <c r="P22" s="48"/>
      <c r="Q22" s="49"/>
      <c r="R22" s="49"/>
      <c r="S22" s="33"/>
    </row>
    <row r="23" spans="2:19">
      <c r="B23" s="370" t="s">
        <v>332</v>
      </c>
      <c r="C23" s="375">
        <v>8</v>
      </c>
      <c r="D23" s="50" t="s">
        <v>333</v>
      </c>
      <c r="E23" s="45"/>
      <c r="F23" s="45"/>
      <c r="G23" s="41"/>
      <c r="H23" s="44"/>
      <c r="I23" s="45"/>
      <c r="J23" s="45"/>
      <c r="K23" s="41"/>
      <c r="L23" s="44"/>
      <c r="M23" s="45"/>
      <c r="N23" s="45"/>
      <c r="O23" s="41"/>
      <c r="P23" s="44"/>
      <c r="Q23" s="45"/>
      <c r="R23" s="45"/>
      <c r="S23" s="41"/>
    </row>
    <row r="24" spans="2:19" ht="15" thickBot="1">
      <c r="B24" s="371"/>
      <c r="C24" s="376">
        <v>8</v>
      </c>
      <c r="D24" s="51" t="s">
        <v>172</v>
      </c>
      <c r="E24" s="49"/>
      <c r="F24" s="49"/>
      <c r="G24" s="33"/>
      <c r="H24" s="48"/>
      <c r="I24" s="49"/>
      <c r="J24" s="49"/>
      <c r="K24" s="33"/>
      <c r="L24" s="48"/>
      <c r="M24" s="49"/>
      <c r="N24" s="49"/>
      <c r="O24" s="33"/>
      <c r="P24" s="48"/>
      <c r="Q24" s="49"/>
      <c r="R24" s="49"/>
      <c r="S24" s="33"/>
    </row>
    <row r="25" spans="2:19">
      <c r="B25" s="370" t="s">
        <v>332</v>
      </c>
      <c r="C25" s="375">
        <v>9</v>
      </c>
      <c r="D25" s="50" t="s">
        <v>334</v>
      </c>
      <c r="E25" s="45"/>
      <c r="F25" s="45"/>
      <c r="G25" s="41"/>
      <c r="H25" s="44"/>
      <c r="I25" s="45"/>
      <c r="J25" s="45"/>
      <c r="K25" s="41"/>
      <c r="L25" s="44"/>
      <c r="M25" s="45"/>
      <c r="N25" s="45"/>
      <c r="O25" s="41"/>
      <c r="P25" s="44"/>
      <c r="Q25" s="45"/>
      <c r="R25" s="45"/>
      <c r="S25" s="41"/>
    </row>
    <row r="26" spans="2:19" ht="15" thickBot="1">
      <c r="B26" s="371"/>
      <c r="C26" s="376">
        <v>9</v>
      </c>
      <c r="D26" s="51" t="s">
        <v>165</v>
      </c>
      <c r="E26" s="49"/>
      <c r="F26" s="49"/>
      <c r="G26" s="33"/>
      <c r="H26" s="48"/>
      <c r="I26" s="49"/>
      <c r="J26" s="49"/>
      <c r="K26" s="33"/>
      <c r="L26" s="48"/>
      <c r="M26" s="49"/>
      <c r="N26" s="49"/>
      <c r="O26" s="33"/>
      <c r="P26" s="48"/>
      <c r="Q26" s="49"/>
      <c r="R26" s="49"/>
      <c r="S26" s="33"/>
    </row>
    <row r="27" spans="2:19">
      <c r="B27" s="370" t="s">
        <v>332</v>
      </c>
      <c r="C27" s="375" t="s">
        <v>325</v>
      </c>
      <c r="D27" s="50" t="s">
        <v>335</v>
      </c>
      <c r="E27" s="45"/>
      <c r="F27" s="45"/>
      <c r="G27" s="41"/>
      <c r="H27" s="44"/>
      <c r="I27" s="45"/>
      <c r="J27" s="45"/>
      <c r="K27" s="41"/>
      <c r="L27" s="44"/>
      <c r="M27" s="45"/>
      <c r="N27" s="45"/>
      <c r="O27" s="41"/>
      <c r="P27" s="44"/>
      <c r="Q27" s="45"/>
      <c r="R27" s="45"/>
      <c r="S27" s="41"/>
    </row>
    <row r="28" spans="2:19" ht="15" thickBot="1">
      <c r="B28" s="371"/>
      <c r="C28" s="376" t="s">
        <v>325</v>
      </c>
      <c r="D28" s="51" t="s">
        <v>336</v>
      </c>
      <c r="E28" s="49"/>
      <c r="F28" s="49"/>
      <c r="G28" s="33"/>
      <c r="H28" s="48"/>
      <c r="I28" s="49"/>
      <c r="J28" s="49"/>
      <c r="K28" s="33"/>
      <c r="L28" s="48"/>
      <c r="M28" s="49"/>
      <c r="N28" s="49"/>
      <c r="O28" s="33"/>
      <c r="P28" s="48"/>
      <c r="Q28" s="49"/>
      <c r="R28" s="49"/>
      <c r="S28" s="33"/>
    </row>
    <row r="29" spans="2:19">
      <c r="B29" s="370" t="s">
        <v>332</v>
      </c>
      <c r="C29" s="375" t="s">
        <v>326</v>
      </c>
      <c r="D29" s="50" t="s">
        <v>337</v>
      </c>
      <c r="E29" s="45"/>
      <c r="F29" s="45"/>
      <c r="G29" s="41"/>
      <c r="H29" s="44"/>
      <c r="I29" s="45"/>
      <c r="J29" s="45"/>
      <c r="K29" s="41"/>
      <c r="L29" s="44"/>
      <c r="M29" s="45"/>
      <c r="N29" s="45"/>
      <c r="O29" s="41"/>
      <c r="P29" s="44"/>
      <c r="Q29" s="45"/>
      <c r="R29" s="45"/>
      <c r="S29" s="41"/>
    </row>
    <row r="30" spans="2:19" ht="15" thickBot="1">
      <c r="B30" s="371"/>
      <c r="C30" s="376" t="s">
        <v>326</v>
      </c>
      <c r="D30" s="51" t="s">
        <v>338</v>
      </c>
      <c r="E30" s="49"/>
      <c r="F30" s="49"/>
      <c r="G30" s="33"/>
      <c r="H30" s="48"/>
      <c r="I30" s="49"/>
      <c r="J30" s="49"/>
      <c r="K30" s="33"/>
      <c r="L30" s="48"/>
      <c r="M30" s="49"/>
      <c r="N30" s="49"/>
      <c r="O30" s="33"/>
      <c r="P30" s="48"/>
      <c r="Q30" s="49"/>
      <c r="R30" s="49"/>
      <c r="S30" s="33"/>
    </row>
    <row r="31" spans="2:19">
      <c r="B31" s="370" t="s">
        <v>332</v>
      </c>
      <c r="C31" s="375" t="s">
        <v>327</v>
      </c>
      <c r="D31" s="50" t="s">
        <v>339</v>
      </c>
      <c r="E31" s="45"/>
      <c r="F31" s="45"/>
      <c r="G31" s="41"/>
      <c r="H31" s="44"/>
      <c r="I31" s="45"/>
      <c r="J31" s="45"/>
      <c r="K31" s="41"/>
      <c r="L31" s="44"/>
      <c r="M31" s="45"/>
      <c r="N31" s="45"/>
      <c r="O31" s="41"/>
      <c r="P31" s="44"/>
      <c r="Q31" s="45"/>
      <c r="R31" s="45"/>
      <c r="S31" s="41"/>
    </row>
    <row r="32" spans="2:19" ht="15" thickBot="1">
      <c r="B32" s="371"/>
      <c r="C32" s="376" t="s">
        <v>327</v>
      </c>
      <c r="D32" s="51" t="s">
        <v>340</v>
      </c>
      <c r="E32" s="49"/>
      <c r="F32" s="49"/>
      <c r="G32" s="33"/>
      <c r="H32" s="48"/>
      <c r="I32" s="49"/>
      <c r="J32" s="49"/>
      <c r="K32" s="33"/>
      <c r="L32" s="48"/>
      <c r="M32" s="49"/>
      <c r="N32" s="49"/>
      <c r="O32" s="33"/>
      <c r="P32" s="48"/>
      <c r="Q32" s="49"/>
      <c r="R32" s="49"/>
      <c r="S32" s="33"/>
    </row>
    <row r="33" spans="2:19">
      <c r="B33" s="370" t="s">
        <v>332</v>
      </c>
      <c r="C33" s="375" t="s">
        <v>328</v>
      </c>
      <c r="D33" s="50" t="s">
        <v>341</v>
      </c>
      <c r="E33" s="45"/>
      <c r="F33" s="45"/>
      <c r="G33" s="41"/>
      <c r="H33" s="44"/>
      <c r="I33" s="45"/>
      <c r="J33" s="45"/>
      <c r="K33" s="41"/>
      <c r="L33" s="44"/>
      <c r="M33" s="45"/>
      <c r="N33" s="45"/>
      <c r="O33" s="41"/>
      <c r="P33" s="44"/>
      <c r="Q33" s="45"/>
      <c r="R33" s="45"/>
      <c r="S33" s="41"/>
    </row>
    <row r="34" spans="2:19" ht="15" thickBot="1">
      <c r="B34" s="371"/>
      <c r="C34" s="376" t="s">
        <v>328</v>
      </c>
      <c r="D34" s="51" t="s">
        <v>342</v>
      </c>
      <c r="E34" s="49"/>
      <c r="F34" s="49"/>
      <c r="G34" s="33"/>
      <c r="H34" s="48"/>
      <c r="I34" s="49"/>
      <c r="J34" s="49"/>
      <c r="K34" s="33"/>
      <c r="L34" s="48"/>
      <c r="M34" s="49"/>
      <c r="N34" s="49"/>
      <c r="O34" s="33"/>
      <c r="P34" s="48"/>
      <c r="Q34" s="49"/>
      <c r="R34" s="49"/>
      <c r="S34" s="33"/>
    </row>
    <row r="35" spans="2:19">
      <c r="B35" s="370" t="s">
        <v>332</v>
      </c>
      <c r="C35" s="375" t="s">
        <v>329</v>
      </c>
      <c r="D35" s="50" t="s">
        <v>343</v>
      </c>
      <c r="E35" s="45"/>
      <c r="F35" s="45"/>
      <c r="G35" s="41"/>
      <c r="H35" s="44"/>
      <c r="I35" s="45"/>
      <c r="J35" s="45"/>
      <c r="K35" s="41"/>
      <c r="L35" s="44"/>
      <c r="M35" s="45"/>
      <c r="N35" s="45"/>
      <c r="O35" s="41"/>
      <c r="P35" s="44"/>
      <c r="Q35" s="45"/>
      <c r="R35" s="45"/>
      <c r="S35" s="41"/>
    </row>
    <row r="36" spans="2:19" ht="15" thickBot="1">
      <c r="B36" s="371"/>
      <c r="C36" s="376" t="s">
        <v>329</v>
      </c>
      <c r="D36" s="51" t="s">
        <v>344</v>
      </c>
      <c r="E36" s="49"/>
      <c r="F36" s="49"/>
      <c r="G36" s="33"/>
      <c r="H36" s="48"/>
      <c r="I36" s="49"/>
      <c r="J36" s="49"/>
      <c r="K36" s="33"/>
      <c r="L36" s="48"/>
      <c r="M36" s="49"/>
      <c r="N36" s="49"/>
      <c r="O36" s="33"/>
      <c r="P36" s="48"/>
      <c r="Q36" s="49"/>
      <c r="R36" s="49"/>
      <c r="S36" s="33"/>
    </row>
    <row r="37" spans="2:19">
      <c r="B37" s="370" t="s">
        <v>332</v>
      </c>
      <c r="C37" s="375" t="s">
        <v>330</v>
      </c>
      <c r="D37" s="50" t="s">
        <v>345</v>
      </c>
      <c r="G37" s="47"/>
      <c r="H37" s="46"/>
      <c r="K37" s="47"/>
      <c r="L37" s="46"/>
      <c r="O37" s="47"/>
      <c r="P37" s="46"/>
      <c r="S37" s="47"/>
    </row>
    <row r="38" spans="2:19" ht="15" thickBot="1">
      <c r="B38" s="371"/>
      <c r="C38" s="376" t="s">
        <v>330</v>
      </c>
      <c r="D38" s="51" t="s">
        <v>346</v>
      </c>
      <c r="E38" s="49"/>
      <c r="F38" s="49"/>
      <c r="G38" s="33"/>
      <c r="H38" s="48"/>
      <c r="I38" s="49"/>
      <c r="J38" s="49"/>
      <c r="K38" s="33"/>
      <c r="L38" s="48"/>
      <c r="M38" s="49"/>
      <c r="N38" s="49"/>
      <c r="O38" s="33"/>
      <c r="P38" s="48"/>
      <c r="Q38" s="49"/>
      <c r="R38" s="49"/>
      <c r="S38" s="33"/>
    </row>
  </sheetData>
  <mergeCells count="36">
    <mergeCell ref="B33:B34"/>
    <mergeCell ref="C33:C34"/>
    <mergeCell ref="B35:B36"/>
    <mergeCell ref="C35:C36"/>
    <mergeCell ref="B37:B38"/>
    <mergeCell ref="C37:C38"/>
    <mergeCell ref="B27:B28"/>
    <mergeCell ref="C27:C28"/>
    <mergeCell ref="B29:B30"/>
    <mergeCell ref="C29:C30"/>
    <mergeCell ref="B31:B32"/>
    <mergeCell ref="C31:C32"/>
    <mergeCell ref="B21:B22"/>
    <mergeCell ref="C21:C22"/>
    <mergeCell ref="B23:B24"/>
    <mergeCell ref="C23:C24"/>
    <mergeCell ref="B25:B26"/>
    <mergeCell ref="C25:C26"/>
    <mergeCell ref="B15:B16"/>
    <mergeCell ref="C15:C16"/>
    <mergeCell ref="B17:B18"/>
    <mergeCell ref="C17:C18"/>
    <mergeCell ref="B19:B20"/>
    <mergeCell ref="C19:C20"/>
    <mergeCell ref="B9:B10"/>
    <mergeCell ref="C9:C10"/>
    <mergeCell ref="B11:B12"/>
    <mergeCell ref="C11:C12"/>
    <mergeCell ref="B13:B14"/>
    <mergeCell ref="C13:C14"/>
    <mergeCell ref="B7:B8"/>
    <mergeCell ref="D5:G5"/>
    <mergeCell ref="H5:K5"/>
    <mergeCell ref="L5:O5"/>
    <mergeCell ref="P5:S5"/>
    <mergeCell ref="C7:C8"/>
  </mergeCells>
  <phoneticPr fontId="3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Props1.xml><?xml version="1.0" encoding="utf-8"?>
<ds:datastoreItem xmlns:ds="http://schemas.openxmlformats.org/officeDocument/2006/customXml" ds:itemID="{CC0D3719-0A20-4D97-B4BA-471132AC1A18}">
  <ds:schemaRefs>
    <ds:schemaRef ds:uri="http://schemas.microsoft.com/sharepoint/v3/contenttype/forms"/>
  </ds:schemaRefs>
</ds:datastoreItem>
</file>

<file path=customXml/itemProps2.xml><?xml version="1.0" encoding="utf-8"?>
<ds:datastoreItem xmlns:ds="http://schemas.openxmlformats.org/officeDocument/2006/customXml" ds:itemID="{E73EAD3B-0CB5-4ECD-AC89-1198ABD3B393}">
  <ds:schemaRefs>
    <ds:schemaRef ds:uri="http://schemas.microsoft.com/office/2006/metadata/longProperties"/>
  </ds:schemaRefs>
</ds:datastoreItem>
</file>

<file path=customXml/itemProps3.xml><?xml version="1.0" encoding="utf-8"?>
<ds:datastoreItem xmlns:ds="http://schemas.openxmlformats.org/officeDocument/2006/customXml" ds:itemID="{2F890456-F652-46C5-A7A2-EA964BCCA5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f8af23-10d6-4126-8f98-75ad5de3f58a"/>
    <ds:schemaRef ds:uri="c394daa5-e5a4-4148-bef3-deffd9e83c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Caesal Cheng</cp:lastModifiedBy>
  <cp:revision/>
  <dcterms:created xsi:type="dcterms:W3CDTF">2010-10-19T23:59:55Z</dcterms:created>
  <dcterms:modified xsi:type="dcterms:W3CDTF">2024-12-11T22:40:18Z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y fmtid="{D5CDD505-2E9C-101B-9397-08002B2CF9AE}" pid="11" name="MediaServiceImageTags">
    <vt:lpwstr/>
  </property>
</Properties>
</file>