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ustomProperty1.bin" ContentType="application/vnd.openxmlformats-officedocument.spreadsheetml.customProperty"/>
  <Override PartName="/xl/customProperty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gerard.pasman\Downloads\"/>
    </mc:Choice>
  </mc:AlternateContent>
  <xr:revisionPtr revIDLastSave="0" documentId="13_ncr:1_{FFC79A53-9D9D-4B00-97AA-1DB4D264B12F}" xr6:coauthVersionLast="47" xr6:coauthVersionMax="47" xr10:uidLastSave="{00000000-0000-0000-0000-000000000000}"/>
  <bookViews>
    <workbookView xWindow="-54120" yWindow="2205" windowWidth="25440" windowHeight="15270" activeTab="2" xr2:uid="{00000000-000D-0000-FFFF-FFFF00000000}"/>
  </bookViews>
  <sheets>
    <sheet name="Revision" sheetId="8" r:id="rId1"/>
    <sheet name="Mapping" sheetId="27" r:id="rId2"/>
    <sheet name="MTP Map" sheetId="23" r:id="rId3"/>
    <sheet name="Tracking Data" sheetId="25" r:id="rId4"/>
    <sheet name="ACBIN Data" sheetId="26" r:id="rId5"/>
    <sheet name="Mapping Old" sheetId="17" state="hidden" r:id="rId6"/>
    <sheet name="xl_DCF_History" sheetId="4" state="veryHidden" r:id="rId7"/>
    <sheet name="Classified as UnClassified" sheetId="10" state="hidden" r:id="rId8"/>
    <sheet name="Sheet1" sheetId="18" state="hidden" r:id="rId9"/>
  </sheets>
  <definedNames>
    <definedName name="_xleta.RIGHT" hidden="1" xlm="1">#NAME?</definedName>
    <definedName name="_xlnm.Print_Area" localSheetId="1">Mapping!$A$11:$M$27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8" l="1"/>
  <c r="D1" i="27" s="1"/>
  <c r="C7" i="8"/>
  <c r="B1" i="27" s="1"/>
  <c r="L39" i="27"/>
  <c r="M38" i="27"/>
  <c r="L38" i="27"/>
  <c r="K38" i="27"/>
  <c r="K40" i="27"/>
  <c r="K52" i="27"/>
  <c r="H52" i="27"/>
  <c r="H49" i="27"/>
  <c r="F157" i="23" a="1"/>
  <c r="F158" i="23" a="1"/>
  <c r="F158" i="23" l="1"/>
  <c r="F157" i="23"/>
  <c r="F55" i="27"/>
  <c r="H53" i="27"/>
  <c r="K47" i="27"/>
  <c r="K46" i="27"/>
  <c r="K44" i="27"/>
  <c r="K42" i="27"/>
  <c r="K41" i="27"/>
  <c r="K39" i="27"/>
  <c r="K37" i="27"/>
  <c r="K36" i="27"/>
  <c r="K34" i="27"/>
  <c r="H34" i="27"/>
  <c r="K33" i="27"/>
  <c r="H33" i="27"/>
  <c r="K32" i="27"/>
  <c r="H32" i="27"/>
  <c r="K31" i="27"/>
  <c r="H31" i="27"/>
  <c r="K30" i="27"/>
  <c r="H30" i="27"/>
  <c r="K29" i="27"/>
  <c r="H29" i="27"/>
  <c r="K28" i="27"/>
  <c r="H28" i="27"/>
  <c r="K27" i="27"/>
  <c r="H27" i="27"/>
  <c r="K26" i="27"/>
  <c r="K25" i="27"/>
  <c r="H25" i="27"/>
  <c r="K23" i="27"/>
  <c r="H23" i="27"/>
  <c r="K22" i="27"/>
  <c r="H22" i="27"/>
  <c r="K21" i="27"/>
  <c r="H21" i="27"/>
  <c r="K20" i="27"/>
  <c r="H20" i="27"/>
  <c r="K18" i="27"/>
  <c r="H18" i="27"/>
  <c r="K17" i="27"/>
  <c r="H17" i="27"/>
  <c r="K16" i="27"/>
  <c r="H16" i="27"/>
  <c r="K15" i="27"/>
  <c r="H15" i="27"/>
  <c r="K14" i="27"/>
  <c r="H14" i="27"/>
  <c r="L13" i="27"/>
  <c r="M13" i="27" s="1"/>
  <c r="K13" i="27"/>
  <c r="H13" i="27"/>
  <c r="C8" i="27"/>
  <c r="C1" i="27"/>
  <c r="K49" i="27" l="1"/>
  <c r="L14" i="27"/>
  <c r="K53" i="27" l="1"/>
  <c r="K55" i="27" s="1"/>
  <c r="L15" i="27"/>
  <c r="M14" i="27"/>
  <c r="M15" i="27" l="1"/>
  <c r="L16" i="27"/>
  <c r="M16" i="27" l="1"/>
  <c r="L17" i="27"/>
  <c r="M17" i="27" l="1"/>
  <c r="L18" i="27"/>
  <c r="L20" i="27" l="1"/>
  <c r="M18" i="27"/>
  <c r="M20" i="27" l="1"/>
  <c r="L21" i="27"/>
  <c r="M21" i="27" l="1"/>
  <c r="L22" i="27"/>
  <c r="M22" i="27" l="1"/>
  <c r="L23" i="27"/>
  <c r="L25" i="27" l="1"/>
  <c r="M23" i="27"/>
  <c r="M25" i="27" l="1"/>
  <c r="L26" i="27"/>
  <c r="M26" i="27" l="1"/>
  <c r="L27" i="27"/>
  <c r="M27" i="27" l="1"/>
  <c r="L28" i="27"/>
  <c r="M28" i="27" l="1"/>
  <c r="L29" i="27"/>
  <c r="M29" i="27" l="1"/>
  <c r="L30" i="27"/>
  <c r="M30" i="27" l="1"/>
  <c r="L31" i="27"/>
  <c r="M31" i="27" l="1"/>
  <c r="L32" i="27"/>
  <c r="M32" i="27" l="1"/>
  <c r="L33" i="27"/>
  <c r="L34" i="27" l="1"/>
  <c r="M33" i="27"/>
  <c r="M34" i="27" l="1"/>
  <c r="L36" i="27"/>
  <c r="M36" i="27" l="1"/>
  <c r="L37" i="27"/>
  <c r="M39" i="27" s="1"/>
  <c r="M37" i="27" l="1"/>
  <c r="L40" i="27" l="1"/>
  <c r="L41" i="27" s="1"/>
  <c r="M41" i="27" s="1"/>
  <c r="M40" i="27" l="1"/>
  <c r="L42" i="27" l="1"/>
  <c r="M42" i="27" l="1"/>
  <c r="L44" i="27"/>
  <c r="M44" i="27" l="1"/>
  <c r="L46" i="27"/>
  <c r="M46" i="27" l="1"/>
  <c r="A9" i="23" s="1"/>
  <c r="L47" i="27"/>
  <c r="L49" i="27" s="1"/>
  <c r="L52" i="27" s="1"/>
  <c r="M52" i="27" l="1"/>
  <c r="L53" i="27"/>
  <c r="M49" i="27"/>
  <c r="M47" i="27"/>
  <c r="M53" i="27" l="1"/>
  <c r="L55" i="27"/>
  <c r="M55" i="27" s="1"/>
  <c r="A160" i="23" s="1"/>
  <c r="H157" i="23" l="1"/>
  <c r="B146" i="23"/>
  <c r="B147" i="23"/>
  <c r="B148" i="23"/>
  <c r="B149" i="23"/>
  <c r="B150" i="23"/>
  <c r="B151" i="23"/>
  <c r="B152" i="23"/>
  <c r="B153" i="23"/>
  <c r="B154" i="23"/>
  <c r="B155" i="23"/>
  <c r="B156" i="23"/>
  <c r="B157" i="23"/>
  <c r="B158" i="23" s="1"/>
  <c r="B10" i="23" l="1"/>
  <c r="C15" i="17"/>
  <c r="G15" i="17"/>
  <c r="J12" i="17"/>
  <c r="K12" i="17"/>
  <c r="G11" i="17"/>
  <c r="H12" i="17"/>
  <c r="I12" i="17"/>
  <c r="G18" i="17"/>
  <c r="C8" i="17"/>
  <c r="K11" i="17"/>
  <c r="G16" i="17"/>
  <c r="G31" i="17"/>
  <c r="G30" i="17"/>
  <c r="G29" i="17"/>
  <c r="G28" i="17"/>
  <c r="G27" i="17"/>
  <c r="I11" i="17"/>
  <c r="G13" i="17"/>
  <c r="G14" i="17"/>
  <c r="G17" i="17"/>
  <c r="G19" i="17"/>
  <c r="G20" i="17"/>
  <c r="G21" i="17"/>
  <c r="G22" i="17"/>
  <c r="G23" i="17"/>
  <c r="G24" i="17"/>
  <c r="G25" i="17"/>
  <c r="G26" i="17"/>
  <c r="G32" i="17"/>
  <c r="G33" i="17"/>
  <c r="G34" i="17"/>
  <c r="G35" i="17"/>
  <c r="G36" i="17"/>
  <c r="G37" i="17"/>
  <c r="G38" i="17"/>
  <c r="G39" i="17"/>
  <c r="G40" i="17"/>
  <c r="G12" i="17"/>
  <c r="H13" i="17"/>
  <c r="J13" i="17"/>
  <c r="J14" i="17"/>
  <c r="J15" i="17"/>
  <c r="K13" i="17"/>
  <c r="K14" i="17"/>
  <c r="J16" i="17"/>
  <c r="K16" i="17"/>
  <c r="K15" i="17"/>
  <c r="H14" i="17"/>
  <c r="I13" i="17"/>
  <c r="I14" i="17"/>
  <c r="H15" i="17"/>
  <c r="I15" i="17"/>
  <c r="H16" i="17"/>
  <c r="C41" i="17"/>
  <c r="G41" i="17"/>
  <c r="H41" i="17"/>
  <c r="I41" i="17"/>
  <c r="I16" i="17"/>
  <c r="H17" i="17"/>
  <c r="J17" i="17"/>
  <c r="H18" i="17"/>
  <c r="I17" i="17"/>
  <c r="H19" i="17"/>
  <c r="I18" i="17"/>
  <c r="K17" i="17"/>
  <c r="J18" i="17"/>
  <c r="J19" i="17"/>
  <c r="K18" i="17"/>
  <c r="I19" i="17"/>
  <c r="H20" i="17"/>
  <c r="I20" i="17"/>
  <c r="H21" i="17"/>
  <c r="J20" i="17"/>
  <c r="K19" i="17"/>
  <c r="J21" i="17"/>
  <c r="K20" i="17"/>
  <c r="H22" i="17"/>
  <c r="I21" i="17"/>
  <c r="H23" i="17"/>
  <c r="I22" i="17"/>
  <c r="K21" i="17"/>
  <c r="J22" i="17"/>
  <c r="K22" i="17"/>
  <c r="J23" i="17"/>
  <c r="H24" i="17"/>
  <c r="I23" i="17"/>
  <c r="I24" i="17"/>
  <c r="H25" i="17"/>
  <c r="K23" i="17"/>
  <c r="J24" i="17"/>
  <c r="H26" i="17"/>
  <c r="I25" i="17"/>
  <c r="J25" i="17"/>
  <c r="K24" i="17"/>
  <c r="K25" i="17"/>
  <c r="J26" i="17"/>
  <c r="I26" i="17"/>
  <c r="H27" i="17"/>
  <c r="J27" i="17"/>
  <c r="K26" i="17"/>
  <c r="I27" i="17"/>
  <c r="H28" i="17"/>
  <c r="I28" i="17"/>
  <c r="H29" i="17"/>
  <c r="K27" i="17"/>
  <c r="J28" i="17"/>
  <c r="K28" i="17"/>
  <c r="J29" i="17"/>
  <c r="H30" i="17"/>
  <c r="I29" i="17"/>
  <c r="I30" i="17"/>
  <c r="H31" i="17"/>
  <c r="K29" i="17"/>
  <c r="J30" i="17"/>
  <c r="J31" i="17"/>
  <c r="K30" i="17"/>
  <c r="I31" i="17"/>
  <c r="H32" i="17"/>
  <c r="K31" i="17"/>
  <c r="J32" i="17"/>
  <c r="H33" i="17"/>
  <c r="I32" i="17"/>
  <c r="K32" i="17"/>
  <c r="J33" i="17"/>
  <c r="I33" i="17"/>
  <c r="H34" i="17"/>
  <c r="I34" i="17"/>
  <c r="H35" i="17"/>
  <c r="K33" i="17"/>
  <c r="J34" i="17"/>
  <c r="H36" i="17"/>
  <c r="I35" i="17"/>
  <c r="J35" i="17"/>
  <c r="K34" i="17"/>
  <c r="J36" i="17"/>
  <c r="K35" i="17"/>
  <c r="H37" i="17"/>
  <c r="I36" i="17"/>
  <c r="I37" i="17"/>
  <c r="H38" i="17"/>
  <c r="K36" i="17"/>
  <c r="J37" i="17"/>
  <c r="J38" i="17"/>
  <c r="K37" i="17"/>
  <c r="I38" i="17"/>
  <c r="H39" i="17"/>
  <c r="I39" i="17"/>
  <c r="H40" i="17"/>
  <c r="I40" i="17"/>
  <c r="J39" i="17"/>
  <c r="K38" i="17"/>
  <c r="K39" i="17"/>
  <c r="J40" i="17"/>
  <c r="K40" i="17"/>
  <c r="J41" i="17"/>
  <c r="K41" i="17"/>
  <c r="B11" i="23" l="1"/>
  <c r="B12" i="23" l="1"/>
  <c r="B13" i="23" l="1"/>
  <c r="B20" i="23" s="1"/>
  <c r="B22" i="23" s="1"/>
  <c r="B23" i="23" s="1"/>
  <c r="B25" i="23" s="1"/>
  <c r="B27"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l="1"/>
  <c r="B115" i="23" l="1"/>
  <c r="B116" i="23" l="1"/>
  <c r="B117" i="23" l="1"/>
  <c r="B118" i="23" s="1"/>
  <c r="B119" i="23" s="1"/>
  <c r="B120" i="23" s="1"/>
  <c r="B121" i="23" s="1"/>
  <c r="B122" i="23" s="1"/>
  <c r="B123" i="23" s="1"/>
  <c r="B124" i="23" l="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A10" i="23" l="1"/>
  <c r="A11" i="23" l="1"/>
  <c r="A12" i="23" s="1"/>
  <c r="A13" i="23" s="1"/>
  <c r="A20" i="23" s="1"/>
  <c r="A22" i="23" s="1"/>
  <c r="A23" i="23" s="1"/>
  <c r="A25" i="23" s="1"/>
  <c r="A27" i="23" s="1"/>
  <c r="A33" i="23" s="1"/>
  <c r="A34" i="23" s="1"/>
  <c r="A35" i="23" s="1"/>
  <c r="A36" i="23" l="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F12" i="23" l="1"/>
  <c r="H12" i="23"/>
  <c r="B160" i="2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<sst xmlns="http://schemas.openxmlformats.org/spreadsheetml/2006/main" count="1542" uniqueCount="755">
  <si>
    <t xml:space="preserve">Key Type:  </t>
  </si>
  <si>
    <t>HDCP1.4_RX</t>
  </si>
  <si>
    <t>Project (SoC)</t>
  </si>
  <si>
    <t>VERSION</t>
  </si>
  <si>
    <t>DATE</t>
  </si>
  <si>
    <t>Coordinator:</t>
  </si>
  <si>
    <t>Gerard Pasman</t>
  </si>
  <si>
    <t>Review Team:</t>
  </si>
  <si>
    <t xml:space="preserve">Revision History </t>
  </si>
  <si>
    <t>Revision</t>
  </si>
  <si>
    <t>Date</t>
  </si>
  <si>
    <t>Author</t>
  </si>
  <si>
    <t>Reviewed with</t>
  </si>
  <si>
    <t>Changes</t>
  </si>
  <si>
    <t>11.4.2023</t>
  </si>
  <si>
    <t>Ramesh.D</t>
  </si>
  <si>
    <t>Initial Draft</t>
  </si>
  <si>
    <t>11.14.2023</t>
  </si>
  <si>
    <t>3rd Revision.
Uses Puma Base.
Added Calibration Bits
Added MTP Configuration bits.</t>
  </si>
  <si>
    <t>Updated MTP CONFIG0 Record</t>
  </si>
  <si>
    <t>Changed Product Name to iND8 7451
Uniquified Record Types : AA55 is KEY Record,  55AA is MTP_CONFIG0, A5A5 is MTP_DPCD_VSF
Added new MTP_LVDS_CONGIG Record</t>
  </si>
  <si>
    <t>Added new MTP_LVDS_CONGIG Record</t>
  </si>
  <si>
    <t>1. Changed Field Width from 24 to 32 for incorrect rws on MTP Map
2. Added Field Width column.in MTP_MAP.
3. Added MTP_REC_CRC at the end.</t>
  </si>
  <si>
    <t>1. Updated Mapping Tracking Data 6byte Fab Lot Number.
2. Consolidated GH DUSR.
3. Updated MTP MAP MTP_CONFIG0.
4. Changed MTP MAP MTP_JTAG_EN to MTP_CFG_EEP_PORT_SEL
4. Uppdated MTP_LVDS_CONFIG</t>
  </si>
  <si>
    <t>0.10</t>
  </si>
  <si>
    <t>1. Updated MTP Map Names of Addresses 0x7DA4 &amp; 0x7DA5.
2. Renamed MTP_I2C_ADDR to MTP_I2C_SLAVE_ADDR.
3. Added MTP_CFG_EEP_ADDR.
4. Re-adjusted MTP Addresses.
5. Moved MTP_DPRX_1LANE,MTP_DPRX_PN_SWAP,MTP_DPRX_SPARE to a separate address.
6. Added MTP_LVDS_SSC_CONFIG.</t>
  </si>
  <si>
    <t>0.11</t>
  </si>
  <si>
    <t>1. Added MTP_HIF_IRQN_SEL in MTP_MAP
2. Added 32b Field mapping.
3. Added 16b Field Mapping.</t>
  </si>
  <si>
    <t>1. Corrections in Addresses and field widths highlighted.</t>
  </si>
  <si>
    <t>1. Added MTP_DPRX_LANE_SWAP in MTP_MAP sheet.
2. Added MTP_RCLK_SEL  in MTP_MAP sheet.</t>
  </si>
  <si>
    <t>1. Added MTP_DPRX_CABLE_DETECT Function on MTP Map sheet.
2. Swapped GC_FILLER &amp; GC_FULL_CRC</t>
  </si>
  <si>
    <t>Device Used</t>
  </si>
  <si>
    <t>EN008K32AK065RO16</t>
  </si>
  <si>
    <t>Effective Size per Device</t>
  </si>
  <si>
    <t>Organization</t>
  </si>
  <si>
    <t>8192x32</t>
  </si>
  <si>
    <t>OTP Portion of Memory</t>
  </si>
  <si>
    <t>LAST</t>
  </si>
  <si>
    <t>Select if OTP is in the Beginninng or End of MTP</t>
  </si>
  <si>
    <t>`</t>
  </si>
  <si>
    <t>OTP + CONFIG Size</t>
  </si>
  <si>
    <t>kbytes</t>
  </si>
  <si>
    <t>Code MTP Size</t>
  </si>
  <si>
    <t>Total MTP Size</t>
  </si>
  <si>
    <t>Field</t>
  </si>
  <si>
    <t>Record Type</t>
  </si>
  <si>
    <t>Value</t>
  </si>
  <si>
    <t>Data Type</t>
  </si>
  <si>
    <t>Bytes data (dec)</t>
  </si>
  <si>
    <t>None / redundant / ECC</t>
  </si>
  <si>
    <t>ECC Enabled</t>
  </si>
  <si>
    <t>BRP Enabled</t>
  </si>
  <si>
    <t>Locked (SecDMA only)</t>
  </si>
  <si>
    <t>Size (dec, bytes)</t>
  </si>
  <si>
    <t>Start (dec)</t>
  </si>
  <si>
    <t>Start (Hex)</t>
  </si>
  <si>
    <t>Comments</t>
  </si>
  <si>
    <t>Tracking Data</t>
  </si>
  <si>
    <t>lot_no</t>
  </si>
  <si>
    <t>0xXX_XXXX_XXXX</t>
  </si>
  <si>
    <t>Variable</t>
  </si>
  <si>
    <t>None</t>
  </si>
  <si>
    <t>No</t>
  </si>
  <si>
    <t>Fab Lot Number</t>
  </si>
  <si>
    <t>wafer_no</t>
  </si>
  <si>
    <t>0xXX</t>
  </si>
  <si>
    <t>Wafer Number</t>
  </si>
  <si>
    <t>x_coordinate</t>
  </si>
  <si>
    <t>Die X Coordinate</t>
  </si>
  <si>
    <t>y_coordinate</t>
  </si>
  <si>
    <t>Die Y Coordinate</t>
  </si>
  <si>
    <t>tracking_crc</t>
  </si>
  <si>
    <t>0xXXXX</t>
  </si>
  <si>
    <t>Tracking CRC: 2 bytes</t>
  </si>
  <si>
    <t>Production Data</t>
  </si>
  <si>
    <t>Constant</t>
  </si>
  <si>
    <t>bit7</t>
  </si>
  <si>
    <t>bit6</t>
  </si>
  <si>
    <t>bit5</t>
  </si>
  <si>
    <t>bit4</t>
  </si>
  <si>
    <t>bit3</t>
  </si>
  <si>
    <t>bit2</t>
  </si>
  <si>
    <t>bit1</t>
  </si>
  <si>
    <t>Bit0</t>
  </si>
  <si>
    <t>0x00</t>
  </si>
  <si>
    <t>Reserved</t>
  </si>
  <si>
    <t>SECTION 2 - DUSR</t>
  </si>
  <si>
    <t>Record Data</t>
  </si>
  <si>
    <t>Product Name iND8+7451</t>
  </si>
  <si>
    <t>0x7451</t>
  </si>
  <si>
    <t>4byte Product Family indicator 7451</t>
  </si>
  <si>
    <t>Unique Serial Number</t>
  </si>
  <si>
    <t>0xZZXXYYWWVVUUTTSSRRQQ</t>
  </si>
  <si>
    <t>10 bytes Unique serial number; binairy number, big-endian</t>
  </si>
  <si>
    <t>Record Header</t>
  </si>
  <si>
    <t>SerNum_CRC</t>
  </si>
  <si>
    <t>0xWXYZ</t>
  </si>
  <si>
    <t>Serial Num Record CRC (from 0x3C10h to 0x3C1Dh)</t>
  </si>
  <si>
    <t>RecordSync</t>
  </si>
  <si>
    <t>0xAA55</t>
  </si>
  <si>
    <t>Yes</t>
  </si>
  <si>
    <t>Key Record Indicator</t>
  </si>
  <si>
    <t>GC_FILLER</t>
  </si>
  <si>
    <t>Used to Align Next Key to 32bit Boundary</t>
  </si>
  <si>
    <t>KeyType</t>
  </si>
  <si>
    <t>0x01</t>
  </si>
  <si>
    <t>HDCP Receiver Key [Type 0x01]</t>
  </si>
  <si>
    <t>GC_HDCP_KSV</t>
  </si>
  <si>
    <t>0xVVWWXXYYZZ</t>
  </si>
  <si>
    <t>GC HDCP KSV</t>
  </si>
  <si>
    <t>GC_HDCP_KEYS</t>
  </si>
  <si>
    <t>#HDCPKEY</t>
  </si>
  <si>
    <t>GC HDCP Key Data</t>
  </si>
  <si>
    <t>0x0000</t>
  </si>
  <si>
    <t>Filler to align to 32bit boundary</t>
  </si>
  <si>
    <t>GC_FULL_CRC</t>
  </si>
  <si>
    <t>0xLLMM</t>
  </si>
  <si>
    <t>0xZZ</t>
  </si>
  <si>
    <t>0xZZYYXXWW</t>
  </si>
  <si>
    <t>Other Calibration</t>
  </si>
  <si>
    <t>Spare</t>
  </si>
  <si>
    <t>Configuration Data0</t>
  </si>
  <si>
    <t>0xSSTTUUVVWWXXYYZZ</t>
  </si>
  <si>
    <t>Configuration Data7</t>
  </si>
  <si>
    <t>Total</t>
  </si>
  <si>
    <t>Erased State of MTP is all 1's</t>
  </si>
  <si>
    <t>SO WE USE INVERT LOGIC TO INVERT ALL WRITE &amp; READ DATA</t>
  </si>
  <si>
    <t>All MTPConfiguration will be interpretted by IROM Software.</t>
  </si>
  <si>
    <t>MTP Configuration will not be programmed by ATE</t>
  </si>
  <si>
    <t>MTP Address</t>
  </si>
  <si>
    <t>Byte Offset</t>
  </si>
  <si>
    <t>Field Width</t>
  </si>
  <si>
    <t xml:space="preserve">Record </t>
  </si>
  <si>
    <t>Record Field</t>
  </si>
  <si>
    <t>SUB FIELD NAME</t>
  </si>
  <si>
    <t>Description</t>
  </si>
  <si>
    <t>Requires IROM Support</t>
  </si>
  <si>
    <t>Requires ATE Programming</t>
  </si>
  <si>
    <t>MTP_CONFIG0</t>
  </si>
  <si>
    <t>CONFIG0_HDR</t>
  </si>
  <si>
    <t>8</t>
  </si>
  <si>
    <t>MTP_FILLER</t>
  </si>
  <si>
    <t>Constant 0x00</t>
  </si>
  <si>
    <t>MTP_REC_LENGTH</t>
  </si>
  <si>
    <t>1</t>
  </si>
  <si>
    <t>Sirius will Always Start up with Ring-Oscillator.  Firmware may chose to Enable &amp; Select Crystal Osc.
If this bit is made 1, the Crystal Oscilator will be enabled &amp; Selected by logic.</t>
  </si>
  <si>
    <t>2</t>
  </si>
  <si>
    <t>MTP_UART_SEL</t>
  </si>
  <si>
    <t>MTP_CS_TCLK_OFF</t>
  </si>
  <si>
    <t>Controls whether Sirius will be in Power-Gating or Clock Gating mode when PDN pin is Low. 0 is forPower Gating Mode (Default). 1 is for Clock Gating mode.</t>
  </si>
  <si>
    <t>SW will copy this value into DPRX_SYS_STATUS_WDATA[2]</t>
  </si>
  <si>
    <t>6</t>
  </si>
  <si>
    <t>Can be overridden by Software.</t>
  </si>
  <si>
    <t>7</t>
  </si>
  <si>
    <t>RC_OSC_LPM_OFF</t>
  </si>
  <si>
    <t>When 1, SW will Turn OFF RC_OSC in Power Gating Mode</t>
  </si>
  <si>
    <t>The PDC bit DPRX_SYS_STATUS_WDATA[3] PD_RC_OSC_EN =1</t>
  </si>
  <si>
    <t>MTP_I2C_ADD_SEL</t>
  </si>
  <si>
    <t>EEPROM Slave Address. LSB is Don’t Care.</t>
  </si>
  <si>
    <t>Overrides IROM Configuration</t>
  </si>
  <si>
    <t>30</t>
  </si>
  <si>
    <t>MTP_GPIO_POD_PUPD_DIS</t>
  </si>
  <si>
    <t>MTP_HIF_IRQN_SEL</t>
  </si>
  <si>
    <t>Note if PWMI is used, the Internal Pull-up must be enabled on this pin (or there should be an external Pullup).</t>
  </si>
  <si>
    <r>
      <rPr>
        <b/>
        <sz val="10"/>
        <rFont val="Arial Narrow"/>
        <family val="2"/>
      </rPr>
      <t>0</t>
    </r>
    <r>
      <rPr>
        <sz val="10"/>
        <rFont val="Arial Narrow"/>
        <family val="2"/>
      </rPr>
      <t xml:space="preserve"> - 2 Lanes ; 1 -  1 Lane</t>
    </r>
  </si>
  <si>
    <t>MTP_DPRX_PN_SWAP</t>
  </si>
  <si>
    <r>
      <rPr>
        <b/>
        <sz val="10"/>
        <rFont val="Arial Narrow"/>
        <family val="2"/>
      </rPr>
      <t>0</t>
    </r>
    <r>
      <rPr>
        <sz val="10"/>
        <rFont val="Arial Narrow"/>
        <family val="2"/>
      </rPr>
      <t xml:space="preserve"> - No P/N Swap ; 1  - P/N are Swapped</t>
    </r>
  </si>
  <si>
    <t>10</t>
  </si>
  <si>
    <t>MTP_DPRX_LANE_SWAP</t>
  </si>
  <si>
    <t>0 - Lanes are not Swapped ; 1 - Lanes are Swapped</t>
  </si>
  <si>
    <t>MTP_DPRX_MAX_SPEED</t>
  </si>
  <si>
    <t>0 - Max Speed is 2.7Gbps ; Max Speed is 5.4 Gbps</t>
  </si>
  <si>
    <t>MTP_RCLK_SEL</t>
  </si>
  <si>
    <t>4</t>
  </si>
  <si>
    <t>MTP_DP_CABLE_DETECT</t>
  </si>
  <si>
    <t>00 - No Cable Detect ; 01 - Use GPIO2 ; 10 Use GPIO6 ; 11 - Use GPIO7</t>
  </si>
  <si>
    <t>MTP_DPRX_ML_SET0</t>
  </si>
  <si>
    <t>1:0 - DPRX_ML_IB_CTL_SET_RBR
3:2 - DPRX_ML_IB_CTL_SET_HBR
5:4 - DPRX_ML_IB_CTL_SET_HBR2
7:6 - SPARE</t>
  </si>
  <si>
    <t>These are optional and hold DPRX register settings for various modes of operation.</t>
  </si>
  <si>
    <t>2:0 - DPRX_ML_GAIN_SET_HBR
3 - SPARE
6:4 - DPRX_ML_GAIN_SET_HBR2
7 - SPARE</t>
  </si>
  <si>
    <t>MTP_DPRX_ML_SET2</t>
  </si>
  <si>
    <t>2:0 - DPRX_ML_EQ_FPEAK_SET_HBR
3 - SPARE
6:4 - DPRX_ML_EQ_FPEAK_SET_HBR2
7 - SPARE</t>
  </si>
  <si>
    <t>SPARE</t>
  </si>
  <si>
    <t>MTP_PANEL_CLOCK</t>
  </si>
  <si>
    <t xml:space="preserve">SW uses this value to compute Open Loop Frequency of AVDDS1 &amp; AVDDS2 </t>
  </si>
  <si>
    <t>Normally based on Panel Spec from EDID. This value is used in case EDID is not detected.</t>
  </si>
  <si>
    <t>MTP_DPRX_DBG_VID_HTOTAL</t>
  </si>
  <si>
    <t>SW uses this value to program DPRX_DBG_VID_HTOTAL for free-run mode</t>
  </si>
  <si>
    <t>MTP_DPRX_DBG_VID_HACT_START</t>
  </si>
  <si>
    <t>SW uses this value to program DPRX_DBG_VID_HACT_START for free-run mode</t>
  </si>
  <si>
    <t>MTP_DPRX_DBG_VID_HACT_WIDTH</t>
  </si>
  <si>
    <t>SW uses this value to program DPRX_DBG_VID_HACT_WIDTH for free-run mode</t>
  </si>
  <si>
    <t>MTP_DPRX_DBG_VID_HS_WIDTH</t>
  </si>
  <si>
    <t>SW uses this value to program DPRX_DBG_VID_HS_WIDTH for free-run mode</t>
  </si>
  <si>
    <t>MTP_DPRX_DBG_VID_VTOTAL</t>
  </si>
  <si>
    <t>SW uses this value to program DPRX_DBG_VID_VTOTAL for free-run mode</t>
  </si>
  <si>
    <t>MTP_DPRX_DBG_VID_VACT_START</t>
  </si>
  <si>
    <t>SW uses this value to program DPRX_DBG_VID_VACT_START for free-run mode</t>
  </si>
  <si>
    <t>MTP_DPRX_DBG_VID_VACT_WIDTH</t>
  </si>
  <si>
    <t>SW uses this value to program DPRX_DBG_VID_VACT_WIDTH for free-run mode</t>
  </si>
  <si>
    <t>MTP_DPRX_DBG_VID_VS_WIDTH</t>
  </si>
  <si>
    <t>SW uses this value to program DPRX_DBG_VID_VS_WIDTH for free-run mode</t>
  </si>
  <si>
    <r>
      <rPr>
        <b/>
        <sz val="10"/>
        <rFont val="Arial Narrow"/>
        <family val="2"/>
      </rPr>
      <t>0</t>
    </r>
    <r>
      <rPr>
        <sz val="10"/>
        <rFont val="Arial Narrow"/>
        <family val="2"/>
      </rPr>
      <t xml:space="preserve"> - TCON_BACKLIGHT_ADJUSTMENT_CAPABLE
1 - BACKLIGHT_PIN_ENABLE_CAPABLE
</t>
    </r>
    <r>
      <rPr>
        <b/>
        <sz val="10"/>
        <rFont val="Arial Narrow"/>
        <family val="2"/>
      </rPr>
      <t>2</t>
    </r>
    <r>
      <rPr>
        <sz val="10"/>
        <rFont val="Arial Narrow"/>
        <family val="2"/>
      </rPr>
      <t xml:space="preserve"> - BACKLIGHT_AUX_ENABLE_CAPABLE
3 - PANEL_SELF_TEST_PIN_ENABLE_CAPABLE
</t>
    </r>
    <r>
      <rPr>
        <b/>
        <sz val="10"/>
        <rFont val="Arial Narrow"/>
        <family val="2"/>
      </rPr>
      <t>7</t>
    </r>
    <r>
      <rPr>
        <sz val="10"/>
        <rFont val="Arial Narrow"/>
        <family val="2"/>
      </rPr>
      <t xml:space="preserve"> - SET_POWER_CAPABLE</t>
    </r>
  </si>
  <si>
    <t>MTP_DPCD_eDP_702_CAP</t>
  </si>
  <si>
    <r>
      <t xml:space="preserve">0 - BACKLIGHT_BRIGHTNESS_PWM_PIN_CAPABLE
</t>
    </r>
    <r>
      <rPr>
        <b/>
        <sz val="10"/>
        <rFont val="Arial Narrow"/>
        <family val="2"/>
      </rPr>
      <t xml:space="preserve">1 </t>
    </r>
    <r>
      <rPr>
        <sz val="10"/>
        <rFont val="Arial Narrow"/>
        <family val="2"/>
      </rPr>
      <t xml:space="preserve">- BACKLIGHT_BRIGHTNESS_AUX_SET_CAPABLE
</t>
    </r>
    <r>
      <rPr>
        <b/>
        <sz val="10"/>
        <rFont val="Arial Narrow"/>
        <family val="2"/>
      </rPr>
      <t>2</t>
    </r>
    <r>
      <rPr>
        <sz val="10"/>
        <rFont val="Arial Narrow"/>
        <family val="2"/>
      </rPr>
      <t xml:space="preserve"> - BACKLIGHT_BRIGHTNESS_BYTE_COUNT
</t>
    </r>
    <r>
      <rPr>
        <b/>
        <sz val="10"/>
        <rFont val="Arial Narrow"/>
        <family val="2"/>
      </rPr>
      <t>3</t>
    </r>
    <r>
      <rPr>
        <sz val="10"/>
        <rFont val="Arial Narrow"/>
        <family val="2"/>
      </rPr>
      <t xml:space="preserve"> - BACKLIGHT_AUX-PWM_PRODUCT_CAPABLE
</t>
    </r>
    <r>
      <rPr>
        <b/>
        <sz val="10"/>
        <rFont val="Arial Narrow"/>
        <family val="2"/>
      </rPr>
      <t>4</t>
    </r>
    <r>
      <rPr>
        <sz val="10"/>
        <rFont val="Arial Narrow"/>
        <family val="2"/>
      </rPr>
      <t xml:space="preserve"> - BACKLIGHT_FREQ_PWM_PIN_PASS-THRU_CAPABLE
5 - BACKLIGHT_FREQ_AUX_SET_CAPABLE
</t>
    </r>
    <r>
      <rPr>
        <b/>
        <sz val="10"/>
        <rFont val="Arial Narrow"/>
        <family val="2"/>
      </rPr>
      <t>7</t>
    </r>
    <r>
      <rPr>
        <sz val="10"/>
        <rFont val="Arial Narrow"/>
        <family val="2"/>
      </rPr>
      <t xml:space="preserve"> - VBLANK_BACKLIGHT_UPDATE_CAPABLE </t>
    </r>
  </si>
  <si>
    <t>MTP_DPCD_BL_MODE_SET</t>
  </si>
  <si>
    <t>DPCD 00721h eDP BACKLIGHT MODE SET</t>
  </si>
  <si>
    <t>Use this to set DPCD 00721h Value. Default is 02h</t>
  </si>
  <si>
    <t>MTP_DPCD_BL_BRT_MSB</t>
  </si>
  <si>
    <t>DPCD 00722h PWM Brightness MSB</t>
  </si>
  <si>
    <t>MTP_DPCD_BL_BRT_LSB</t>
  </si>
  <si>
    <t>DPCD 00723h PWM Brightness LSB</t>
  </si>
  <si>
    <t>MTP_DPCD_PWM_BITC</t>
  </si>
  <si>
    <t>DPCD 00724h PWMGEN_BITCOUNT Value</t>
  </si>
  <si>
    <t>Use this to set DPCD 00724h Value. Default is 0Ch</t>
  </si>
  <si>
    <t>MTP_DPCD_PWM_BITC_MIN</t>
  </si>
  <si>
    <t>DPCD 00725h PWMGEN_BITCOUNT_MIN Value</t>
  </si>
  <si>
    <t>Use this to set DPCD 00725h Value. Default is 08h</t>
  </si>
  <si>
    <t>MTP_DPCD_PWM_BITC_MAX</t>
  </si>
  <si>
    <t>DPCD 00726h PWMGEN_BITCOUNT_MAX Value</t>
  </si>
  <si>
    <t>Use this to set DPCD 00726h Value. Default is 0Ch</t>
  </si>
  <si>
    <t>MTP_DPCD_BKL_FAULT</t>
  </si>
  <si>
    <t>DPCD 00727h Backlight Fault Indicator</t>
  </si>
  <si>
    <t>Use this to set DPCD 00727h Value. Default is 00h</t>
  </si>
  <si>
    <t>MTP_DPCD_PWM_FREQ</t>
  </si>
  <si>
    <t>DPCD 00728h PWM FREQ Value</t>
  </si>
  <si>
    <t>CONFIG0_CRC</t>
  </si>
  <si>
    <t>MTP_REC_CRC</t>
  </si>
  <si>
    <t>MTP_IEEE_OUI_402</t>
  </si>
  <si>
    <t xml:space="preserve">Copy of DPCD 00402h </t>
  </si>
  <si>
    <t>MTP_DIDSTR_403</t>
  </si>
  <si>
    <t xml:space="preserve">Copy of DPCD 00403h </t>
  </si>
  <si>
    <t>MTP_DIDSTR_408</t>
  </si>
  <si>
    <t xml:space="preserve">Copy of DPCD 00408h </t>
  </si>
  <si>
    <t>MTP_HW_REV_409</t>
  </si>
  <si>
    <t xml:space="preserve">Copy of DPCD 00409h </t>
  </si>
  <si>
    <t>MTP_LVDS_CONFIG2</t>
  </si>
  <si>
    <t xml:space="preserve">Copy of DPCD 00410h </t>
  </si>
  <si>
    <t>MTP_LVDS_SSC_CONFIG</t>
  </si>
  <si>
    <t>Copy of DPCD 00411h</t>
  </si>
  <si>
    <t>MTP_VN_DEB_412</t>
  </si>
  <si>
    <t>Copy of DPCD 00412h (Spare for now)</t>
  </si>
  <si>
    <t>MTP_VN_DEB_413</t>
  </si>
  <si>
    <t>Copy of DPCD 00413h (Spare for now)</t>
  </si>
  <si>
    <t>MTP_eDP_CAP_702</t>
  </si>
  <si>
    <t>MTP_LVDSTX_MAP0</t>
  </si>
  <si>
    <t>This value will be written into LVDS_TX1/2_MAP0</t>
  </si>
  <si>
    <t>MTP_LVDSTX_MAP1</t>
  </si>
  <si>
    <t>This value will be written into LVDS_TX1/2_MAP1</t>
  </si>
  <si>
    <t>MTP_LVDSTX_MAP2</t>
  </si>
  <si>
    <t>This value will be written into LVDS_TX1/2_MAP2</t>
  </si>
  <si>
    <t>MTP_LVDSTX_MAP3</t>
  </si>
  <si>
    <t>This value will be written into LVDS_TX1/2_MAP3</t>
  </si>
  <si>
    <t>MTP_LVDSTX_MAP4</t>
  </si>
  <si>
    <t>This value will be written into LVDS_TX1/2_MAP4</t>
  </si>
  <si>
    <t>MTP_LVDSTX_MAP5</t>
  </si>
  <si>
    <t>This value will be written into LVDS_TX1/2_MAP5</t>
  </si>
  <si>
    <t>MTP_LVDSTX_Spare1</t>
  </si>
  <si>
    <t>MTP_LVDSTX_Spare2</t>
  </si>
  <si>
    <t>[3:0] value will be written into ICTRL in LVDS_BIAS_CTRL[6:3]
[4] - value will be written into LVDS_TX_HS_INV in LVDS_TX1_DIGITAL_CTRL[8]
[5] - value will be written into LVDS_TX_VS_INV in LVDS_TX1_DIGITAL_CTRL[9]
[6] - value will be written into LVDS_TX_DE_INV in LVDS_TX1_DIGITAL_CTRL[10]
[7] - value will be written into LVDS_TX1_TX2_SWAP in LVDS_TX1_DIGITAL_CTRL[12]
[8] - value will be writted into VEGA_COMPATIBLE_MAP in LVDS_TX1_DIGITAL_CTRL[27]
[15:9] -value will be writted into CLK_DATA in LVDS_TX1/2_DIGITAL_CTRL[22:16]</t>
  </si>
  <si>
    <t>MTP_LVDSTX_PLL_CTRL_FREQ</t>
  </si>
  <si>
    <t>will be written into LVDS_PLL_CTRL_FREQ register</t>
  </si>
  <si>
    <t>MTP_LVDSTX_PLL_CTRL_CFG</t>
  </si>
  <si>
    <t>will be written into LVDS_PLL_CTRL_CFG register</t>
  </si>
  <si>
    <t>SHF_2kx40_cm16s2</t>
  </si>
  <si>
    <t>Organization (not including ECC)</t>
  </si>
  <si>
    <t>2048x32</t>
  </si>
  <si>
    <t>Number of Instances</t>
  </si>
  <si>
    <t>Total OTP Size (not including ECC)</t>
  </si>
  <si>
    <t>Size in Redundant mode</t>
  </si>
  <si>
    <t>Storage locations</t>
  </si>
  <si>
    <t>Differential / Redundant Storage</t>
  </si>
  <si>
    <t>Physical Size (bytes)</t>
  </si>
  <si>
    <t>Physical Offset (dec)</t>
  </si>
  <si>
    <t>Physical Offset (Hex)</t>
  </si>
  <si>
    <t>Logical Offset (decimal)</t>
  </si>
  <si>
    <t>Logical Offset (Hex)</t>
  </si>
  <si>
    <t>Redundant</t>
  </si>
  <si>
    <t>Lock Data</t>
  </si>
  <si>
    <t>Serial Number</t>
  </si>
  <si>
    <t>Version Roll-Back Prev</t>
  </si>
  <si>
    <t>Record Sync</t>
  </si>
  <si>
    <t>ECC</t>
  </si>
  <si>
    <t>Filler</t>
  </si>
  <si>
    <t>Keytype</t>
  </si>
  <si>
    <t>HDCP1.x RX KSV</t>
  </si>
  <si>
    <t>HDCP1.x RX Keys</t>
  </si>
  <si>
    <t>HDCP1.x TX0 KSV</t>
  </si>
  <si>
    <t>HDCP1.x TX0 Keys</t>
  </si>
  <si>
    <t>HDCP1.x TX1 KSV</t>
  </si>
  <si>
    <t>HDCP1.x TX1 Keys</t>
  </si>
  <si>
    <t>PKF-DUK Record</t>
  </si>
  <si>
    <t>LC128 + HDCP2.2 RX</t>
  </si>
  <si>
    <t>CRC Bytes</t>
  </si>
  <si>
    <t>Available</t>
  </si>
  <si>
    <t>CLINAME</t>
  </si>
  <si>
    <t>DATETIME</t>
  </si>
  <si>
    <t>DONEBY</t>
  </si>
  <si>
    <t>IPADDRESS</t>
  </si>
  <si>
    <t>APPVER</t>
  </si>
  <si>
    <t>RANDOM</t>
  </si>
  <si>
    <t>CHECKSUM</t>
  </si>
  <si>
    <t>ᙦᙧᘳᙜᚁᚇᙸᚅᚁᙴᙿ</t>
  </si>
  <si>
    <t>ᙄᙃᙂᙄᙌᙂᙅᙃᙄᙃᘳᘳᙄᙋᙍᙆᙆᙣᙠᘳᘻᙚᙠᙧᙀᙊᙍᙃᘼ</t>
  </si>
  <si>
    <t>ᙦᙧᙯᙦᙻᙴᙾᙸᙸᙿᘳ ᙴᚆᚂᚂᙷ</t>
  </si>
  <si>
    <t>ᙦᙖ᙭ᙄᙃᙃᙄᙅᙈᙇᙈᙟ</t>
  </si>
  <si>
    <t>ᙆᙁᙃᙁᙅᙁᙃ</t>
  </si>
  <si>
    <t>ᙇᙌᙄᙃ</t>
  </si>
  <si>
    <t>ᡪᢃᡘᢁᡶᢈᢈ᡾᡻᡾᡺᡹</t>
  </si>
  <si>
    <t>ᡌᡄᡆᡅᡄᡇᡅᡆᡉᠵᠵᡆᡎᡏᡈᡈᡥᡢᠵᠽᡜᡢᡩᡂᡌᡏᡅᠾ</t>
  </si>
  <si>
    <t>ᡨᡩᡱᡜ᡺ᢇᡶᢇ᡹ᠵᢅᡶᢈᢂᡶᢃ</t>
  </si>
  <si>
    <t>ᡨᡘᡯᡇᡅᡆᡆᡅᡈᡋᡇᡡᡂᡌ</t>
  </si>
  <si>
    <t>ᡉᡃᡅᡃᡇᡃᡅ</t>
  </si>
  <si>
    <t>ᡊᡅᡈᡋ</t>
  </si>
  <si>
    <t>BANK</t>
  </si>
  <si>
    <t>OTP0</t>
  </si>
  <si>
    <t>OTP1</t>
  </si>
  <si>
    <t>OTP2</t>
  </si>
  <si>
    <t>OTP3</t>
  </si>
  <si>
    <t>BYTE</t>
  </si>
  <si>
    <t>A</t>
  </si>
  <si>
    <t>B</t>
  </si>
  <si>
    <t>C</t>
  </si>
  <si>
    <t>D</t>
  </si>
  <si>
    <t>E</t>
  </si>
  <si>
    <t>F</t>
  </si>
  <si>
    <t>BYTE ADDR</t>
  </si>
  <si>
    <t>A[7:4]</t>
  </si>
  <si>
    <t>00</t>
  </si>
  <si>
    <t>20</t>
  </si>
  <si>
    <t>40</t>
  </si>
  <si>
    <t>50</t>
  </si>
  <si>
    <t>60</t>
  </si>
  <si>
    <t>70</t>
  </si>
  <si>
    <t>80</t>
  </si>
  <si>
    <t>90</t>
  </si>
  <si>
    <t>A0</t>
  </si>
  <si>
    <t>B0</t>
  </si>
  <si>
    <t>C0</t>
  </si>
  <si>
    <t>D0</t>
  </si>
  <si>
    <t>E0</t>
  </si>
  <si>
    <t>F0</t>
  </si>
  <si>
    <t>0xXXXX_XXXX_XXXX</t>
  </si>
  <si>
    <t>#bytes</t>
  </si>
  <si>
    <t>Format</t>
  </si>
  <si>
    <t>Comment</t>
  </si>
  <si>
    <t>TD (Tracking Data) field coding</t>
  </si>
  <si>
    <t>6 digits/characters lot# coded as ascci value of the digit/character</t>
  </si>
  <si>
    <t>example</t>
  </si>
  <si>
    <t>Tower lot identifier</t>
  </si>
  <si>
    <t>S/P12345 =&gt;  53 /50 31 32 33 34 35</t>
  </si>
  <si>
    <t>X=1 -&gt; 0x01   X=100 -&gt; 0x64</t>
  </si>
  <si>
    <t>W#1 -&gt; 0x01 W#25 -&gt; 0x19</t>
  </si>
  <si>
    <t>Y=1 -&gt; 0x01   Y=100 -&gt; 0x64</t>
  </si>
  <si>
    <t>53 31 32 33 34 35 01 01 01 48 -&gt; 65 B3</t>
  </si>
  <si>
    <t>CRC16-CCITT over previous 10 bytes</t>
  </si>
  <si>
    <t>numeric value, hexadecimal</t>
  </si>
  <si>
    <t>Gerard</t>
  </si>
  <si>
    <t>1. Flipped ALT1 &amp; ALT2 UART SEL in MTP_MAP sheet.
2.  Tower Tracking Data Sheet.
3. UART_SEL in MTP_MAP updated.</t>
  </si>
  <si>
    <t>Sirius I2C Slave Device Address b[7:1] value.LSB is Don’t Care.</t>
  </si>
  <si>
    <t>1. Deprecated MTP_CFG_EEP_PORT_SEL
2. Deprecated MTP_CFG0_PWMI_EN
3. Deprecated MTP_CFG0_PWMO_DIS
4 Updated MTP_I2C_SLAVE_ADDR description.
5.Updated description of  MTP_GPIO_POD_PUPD_FLIP_EN</t>
  </si>
  <si>
    <t>Default  0xA8,A9 bus address (value is 0x54)  will be used if this is Zero.</t>
  </si>
  <si>
    <r>
      <t xml:space="preserve">Selects between XTAL &amp; Ring Oscillator.
</t>
    </r>
    <r>
      <rPr>
        <b/>
        <sz val="10"/>
        <color theme="1"/>
        <rFont val="Arial Narrow"/>
        <family val="2"/>
      </rPr>
      <t>0</t>
    </r>
    <r>
      <rPr>
        <sz val="10"/>
        <color theme="1"/>
        <rFont val="Arial Narrow"/>
        <family val="2"/>
      </rPr>
      <t xml:space="preserve"> - Implies TCLK is from Internal Ring Oscillator
1- Implies TCLK is from XTAL Oscillator</t>
    </r>
  </si>
  <si>
    <t>Disables the Power-on default pull-up or Pull-down. Maps to GPIO_PAD_CTRL[11:2] register bits or GPIO_PE_CTRL[8:3] field. Software must Zero the 1s with GPIO_PE_CTRL[8:3].
If 1, Then Pad Termination gets Disabled.
0 - GPIO3_PUPD_DIS - A 1 disables Resistor on GPIO_3 Pin
1 - GPIO4_PUPD_DIS - A 1 disables Resistor on GPIO_4 Pin
2 - GPIO5_PUPD_DIS - A 1 disables Resistor on GPIO_5 Pin
3 - GPIO6_PUPD_DIS - A 1 disables Resistor on GPIO_6 Pin
4 - GPIO7_PUPD_DIS - A 1 disables Resistor on GPIO_7 Pin
5 - GPIO8_PUPD_DIS - A 1 disables Resistor on GPIO_8 Pin</t>
  </si>
  <si>
    <t>Program DP12RX_LINK_CONTROL[7:6]=00 or 11; should be 00 for EVB</t>
  </si>
  <si>
    <t>[rd] As only 1-bit for this field, it will be 0 for HBR, 1 for HBR2.  Default should be 0 since this will have to be drop-in replacement. Parade chip is limited to HBR.  Will need to change the DPCD Sink Capability Field and handling of this configuration field.|</t>
  </si>
  <si>
    <t>[rd] It is likely we may never need this (as the SOC driving this will be on the same board). This is just a safety backup.</t>
  </si>
  <si>
    <t>1. Updated OTP Calibration Record with CAL0_0_SPARE used for LVTX_35mA Setting.
2. Added comments on MTP_MAP based on Software feedback.</t>
  </si>
  <si>
    <t>MTP_DPRX_1LANE</t>
    <phoneticPr fontId="4" type="noConversion"/>
  </si>
  <si>
    <t>MTP_DPRX_ML_SET1</t>
    <phoneticPr fontId="4" type="noConversion"/>
  </si>
  <si>
    <t>MTP_DPCD_eDP_701_CAP</t>
    <phoneticPr fontId="4" type="noConversion"/>
  </si>
  <si>
    <t>MTP_eDP_CAP_701</t>
    <phoneticPr fontId="4" type="noConversion"/>
  </si>
  <si>
    <t>MTP_INT_OSC_SEL</t>
    <phoneticPr fontId="4" type="noConversion"/>
  </si>
  <si>
    <t>MTP_CFG_EEP_ADDR</t>
    <phoneticPr fontId="4" type="noConversion"/>
  </si>
  <si>
    <t>2</t>
    <phoneticPr fontId="4" type="noConversion"/>
  </si>
  <si>
    <t>Program DP12RX_LINK_CONTROL[4]; should be 1 for EVB</t>
    <phoneticPr fontId="4" type="noConversion"/>
  </si>
  <si>
    <t>AUX2I2C speed control. Maps to DP12RX_AUX2I2C_CLK_SCALE register
00 - Set 0x09 for I2C speed close to 400KHz (default)
01 - Set 0x0B for I2C speed 330KHz
10 - Set 0x29 for I2C speed 100KHz
11 - Reserved</t>
    <phoneticPr fontId="4" type="noConversion"/>
  </si>
  <si>
    <t>Brett.S</t>
  </si>
  <si>
    <t>1. Updated MTP_DPRX_AUX2I2C_SPEED Field.</t>
  </si>
  <si>
    <t>MTP_I2C_SLAVE_ADDR</t>
  </si>
  <si>
    <t>[py] IROM default is 216 MHz, should change to MTP_RCLK_SEL 00: 216MHz, 01: 270MHz</t>
  </si>
  <si>
    <t>MTP_DPRX_AUX2I2C_SPEED</t>
  </si>
  <si>
    <t>Pei-Hsin.Y</t>
  </si>
  <si>
    <t>1. MTP_DPCD_VSF and MTP_LVDS_CONFIG to follow the same byte numbering scheme of the "Record Field" as the MTP_CONFIG0's.
2. Corrected some wrong numbering.</t>
  </si>
  <si>
    <t>MTP_RX_CONFIG</t>
  </si>
  <si>
    <t xml:space="preserve">1. Corrected the definition of MTP_CONFIG0_B10, MTP_RX_CONFIG, BIT1 to MTP_DPCD_00002h_EFRM_CAP.  </t>
  </si>
  <si>
    <t>0.20</t>
  </si>
  <si>
    <t>MTP_PANEL_CLOCK_MAX</t>
  </si>
  <si>
    <t>SW uses this value to check if the input video is valid</t>
  </si>
  <si>
    <t>UART is enabled on an unprogrammed MTP
Tesla shall set MTP_UART_SEL=11 to disable UART for PVCCEN (GPIO3) control.</t>
  </si>
  <si>
    <t>7:6 - IRQN Out Selection for HOST Interface
          00 - PDN is IRQN Out Pin on Host Interface (Default).
          01 - No IRQN Out Pin on Host Interface.
          10 - PWMI is IRQN Out Pin on Host Interface.
          11 - LVCFG_SW is IRQN Out Pin on Host Interface.</t>
  </si>
  <si>
    <t>00 - RCLK is 216MHz (Default) ; 01 - RCLK is 270MHz ; 10 - RCLK is 203 MHz ; 11 - RESERVED</t>
  </si>
  <si>
    <t>These are optional and hold DPRX register settings for various modes of operation.
[py] If needed, host can use HI register to directly override the core register values.</t>
  </si>
  <si>
    <t xml:space="preserve">Normally based on Panel Spec from EDID. This value is used in case EDID is not detected.
[py] Sirius IROM doesn't pre-fetch EDID to know the panel clock.  As agreed with Ramesh, we use 148.5MHz clock for default 1080p timing (use 1/10 MHz unit, says 1485=0x5CD for 148.5MHz)
[rd] 1/10 MHz unit would be OK. Note that we may not be able to specify the "exact" frequency in closed loop mode as this would need to have been a 24bit number for correct precision. </t>
  </si>
  <si>
    <t>Normally based on Panel Spec from EDID. This value is used in case EDID is not detected.
[py] If non-zero, DP12RX_DBG_VID_HTOTAL~ P12RX_DBG_VID_VS_WIDTH can be pre-programmed, just not to enable it.
[rd] The default values is for generating an image on the default panel (1920x1080).</t>
  </si>
  <si>
    <t>Normally based on Panel Spec from EDID. This value is used in case EDID is not detected.
[rd] Mapping to register DP12RX_DBG_VID_HS_WIDTH, b[15] is polarity. 0 for positive, 1 for negative</t>
  </si>
  <si>
    <t>Normally based on Panel Spec from EDID. This value is used in case EDID is not detected.
[rd] Mapping to register DP12RX_DBG_VID_VS_WIDTH, b[15] is polarity. 0 for positive, 1 for negative</t>
  </si>
  <si>
    <t>Use this to set DPCD 00722h Value. Default is 07h</t>
  </si>
  <si>
    <t>Use this to set DPCD 00723h Value. Default is FFh</t>
  </si>
  <si>
    <t>Use this to set DPCD 00728h Value. Default is 6Eh</t>
  </si>
  <si>
    <t>Copy of DPCD 00701h eDP CAPS1  (Deprecated as it has been defined in the MTP_DPCD_eDP_701_CAP)</t>
  </si>
  <si>
    <t>Copy of DPCD 00702h eDP CAPS2  (Deprecated as it has been defined in the MTP_DPCD_eDP_702_CAP)</t>
  </si>
  <si>
    <t>MTP_PANEL_CLOCK_MIN</t>
  </si>
  <si>
    <t>MTP_DPRX_DBG_VID_HTOTAL_MAX</t>
  </si>
  <si>
    <t>MTP_DPRX_DBG_VID_HTOTAL_MIN</t>
  </si>
  <si>
    <t>MTP_DPRX_DBG_VID_HACT_WIDTH_MAX</t>
  </si>
  <si>
    <t>MTP_DPRX_DBG_VID_VTOTAL_MAX</t>
  </si>
  <si>
    <t>MTP_DPRX_DBG_VID_VTOTAL_MIN</t>
  </si>
  <si>
    <t>MTP_DPRX_DBG_VID_HACT_WIDTH_MIN</t>
  </si>
  <si>
    <t>MTP_DPRX_DBG_VID_VACT_WIDTH_MAX</t>
  </si>
  <si>
    <t>MTP_DPRX_DBG_VID_VACT_WIDTH_MIN</t>
  </si>
  <si>
    <t>MTP_CONFIGURATION_VERSION_ID</t>
  </si>
  <si>
    <t>TBD by Tesla</t>
  </si>
  <si>
    <t>0.21</t>
  </si>
  <si>
    <t>A unique ID that shows what version of EEPROM config / MTP Config have programmed.</t>
  </si>
  <si>
    <t>MTP_LVCFG_DPCD_WRITE_EN</t>
  </si>
  <si>
    <t>0: Block vendor specific DPCD configuration (0040Ch onwards over AUX)
1: Allow vendor specific DPCD configuration (0040Ch onwards over AUX)</t>
  </si>
  <si>
    <t>CONFIG0_B4</t>
  </si>
  <si>
    <t>CONFIG0_B5</t>
  </si>
  <si>
    <t>CONFIG0_B6</t>
  </si>
  <si>
    <t>CONFIG0_B7</t>
  </si>
  <si>
    <t>CONFIG0_B8</t>
  </si>
  <si>
    <t>CONFIG0_B9</t>
  </si>
  <si>
    <t>CONFIG0_B10</t>
  </si>
  <si>
    <t>CONFIG0_B11</t>
  </si>
  <si>
    <t>CONFIG0_B12</t>
  </si>
  <si>
    <t>CONFIG0_B13</t>
  </si>
  <si>
    <t>CONFIG0_B14</t>
  </si>
  <si>
    <t>CONFIG0_B15</t>
  </si>
  <si>
    <t>CONFIG0_B16</t>
  </si>
  <si>
    <t>CONFIG0_B17</t>
  </si>
  <si>
    <t>MTP_DPRX_SPARE_0</t>
  </si>
  <si>
    <t>MTP_DPRX_SPARE_1</t>
  </si>
  <si>
    <t>MTP_DPRX_SPARE_2</t>
  </si>
  <si>
    <t>MTP_DPRX_SPARE_3</t>
  </si>
  <si>
    <t>Constant 0xAA</t>
  </si>
  <si>
    <t>MTP_RECORD_SYNC_L</t>
  </si>
  <si>
    <t>MTP_RECORD_SYNC_H</t>
  </si>
  <si>
    <t>Constant 0x55</t>
  </si>
  <si>
    <t>CONFIG0_B19</t>
  </si>
  <si>
    <t>CONFIG0_B18</t>
  </si>
  <si>
    <t>CONFIG0_B20</t>
  </si>
  <si>
    <t>CONFIG0_B21</t>
  </si>
  <si>
    <t>CONFIG0_B22</t>
  </si>
  <si>
    <t>CONFIG0_B23</t>
  </si>
  <si>
    <t>CONFIG0_B24</t>
  </si>
  <si>
    <t>CONFIG0_B25</t>
  </si>
  <si>
    <t>CONFIG0_B26</t>
  </si>
  <si>
    <t>CONFIG0_B27</t>
  </si>
  <si>
    <t>CONFIG0_B28</t>
  </si>
  <si>
    <t>CONFIG0_B29</t>
  </si>
  <si>
    <t>CONFIG0_B30</t>
  </si>
  <si>
    <t>CONFIG0_B31</t>
  </si>
  <si>
    <t>CONFIG0_B32</t>
  </si>
  <si>
    <t>CONFIG0_B33</t>
  </si>
  <si>
    <t>CONFIG0_B34</t>
  </si>
  <si>
    <t>CONFIG0_B35</t>
  </si>
  <si>
    <t>CONFIG0_B38</t>
  </si>
  <si>
    <t>CONFIG0_B39</t>
  </si>
  <si>
    <t>CONFIG0_B40</t>
  </si>
  <si>
    <t>CONFIG0_B41</t>
  </si>
  <si>
    <t>CONFIG0_B42</t>
  </si>
  <si>
    <t>CONFIG0_B43</t>
  </si>
  <si>
    <t>CONFIG0_B44</t>
  </si>
  <si>
    <t>CONFIG0_B45</t>
  </si>
  <si>
    <t>CONFIG0_B46</t>
  </si>
  <si>
    <t>CONFIG0_B47</t>
  </si>
  <si>
    <t>CONFIG0_B48</t>
  </si>
  <si>
    <t>CONFIG0_B49</t>
  </si>
  <si>
    <t>CONFIG0_B50</t>
  </si>
  <si>
    <t>CONFIG0_B51</t>
  </si>
  <si>
    <t>CONFIG0_B52</t>
  </si>
  <si>
    <t>CONFIG0_B53</t>
  </si>
  <si>
    <t>CONFIG0_B54</t>
  </si>
  <si>
    <t>CONFIG0_B55</t>
  </si>
  <si>
    <t>CONFIG0_B56</t>
  </si>
  <si>
    <t>CONFIG0_B57</t>
  </si>
  <si>
    <t>CONFIG0_B58</t>
  </si>
  <si>
    <t>CONFIG0_B59</t>
  </si>
  <si>
    <t>CONFIG0_B60</t>
  </si>
  <si>
    <t>CONFIG0_B61</t>
  </si>
  <si>
    <t>CONFIG0_B62</t>
  </si>
  <si>
    <t>CONFIG0_B63</t>
  </si>
  <si>
    <t>CONFIG0_B64</t>
  </si>
  <si>
    <t>CONFIG0_B65</t>
  </si>
  <si>
    <t>CONFIG0_B66</t>
  </si>
  <si>
    <t>CONFIG0_B67</t>
  </si>
  <si>
    <t>CONFIG0_B36</t>
  </si>
  <si>
    <t>CONFIG0_B37</t>
  </si>
  <si>
    <t>MTP_IEEE_OUI_400</t>
  </si>
  <si>
    <t>MTP_IEEE_OUI_401</t>
  </si>
  <si>
    <t>Copy of DPCD 00400h</t>
  </si>
  <si>
    <t>Copy of DPCD 00401h</t>
  </si>
  <si>
    <t>CONFIG0_B68</t>
  </si>
  <si>
    <t>CONFIG0_B69</t>
  </si>
  <si>
    <t>CONFIG0_B70</t>
  </si>
  <si>
    <t>CONFIG0_B71</t>
  </si>
  <si>
    <t>CONFIG0_B72</t>
  </si>
  <si>
    <t>MTP_DIDSTR_404</t>
  </si>
  <si>
    <t>MTP_DIDSTR_405</t>
  </si>
  <si>
    <t>Copy of DPCD 00404h</t>
  </si>
  <si>
    <t>Copy of DPCD 00405h</t>
  </si>
  <si>
    <t>CONFIG0_B73</t>
  </si>
  <si>
    <t>CONFIG0_B74</t>
  </si>
  <si>
    <t>CONFIG0_B75</t>
  </si>
  <si>
    <t>MTP_DIDSTR_406</t>
  </si>
  <si>
    <t>MTP_DIDSTR_407</t>
  </si>
  <si>
    <t>Copy of DPCD 00406h</t>
  </si>
  <si>
    <t>Copy of DPCD 00407h</t>
  </si>
  <si>
    <t>CONFIG0_B76</t>
  </si>
  <si>
    <t>CONFIG0_B77</t>
  </si>
  <si>
    <t>CONFIG0_B78</t>
  </si>
  <si>
    <t>MTP_FW_REV_40A</t>
  </si>
  <si>
    <t>MTP_FW_REV_40B</t>
  </si>
  <si>
    <t>Copy of DPCD 0040Bh</t>
  </si>
  <si>
    <t>CONFIG0_B79</t>
  </si>
  <si>
    <t>CONFIG0_B80</t>
  </si>
  <si>
    <t>CONFIG0_B81</t>
  </si>
  <si>
    <t>MTP_LCONF_01_40C</t>
  </si>
  <si>
    <t>MTP_LCONF_01_40D</t>
  </si>
  <si>
    <t>Copy of DPCD 0040Dh</t>
  </si>
  <si>
    <t>CONFIG0_B82</t>
  </si>
  <si>
    <t>CONFIG0_B83</t>
  </si>
  <si>
    <t>MTP_LCONF_01_40E</t>
  </si>
  <si>
    <t>MTP_LCONF_01_40F</t>
  </si>
  <si>
    <t>Copy of DPCD 0040Fh</t>
  </si>
  <si>
    <t>Copy of DPCD 0040Ah</t>
  </si>
  <si>
    <t>Copy of DPCD 0040Ch</t>
  </si>
  <si>
    <t>Copy of DPCD 0040Eh</t>
  </si>
  <si>
    <t>CONFIG0_B84</t>
  </si>
  <si>
    <t>CONFIG0_B85</t>
  </si>
  <si>
    <t>CONFIG0_B86</t>
  </si>
  <si>
    <t>CONFIG0_B87</t>
  </si>
  <si>
    <t>CONFIG0_B90</t>
  </si>
  <si>
    <t>CONFIG0_B91</t>
  </si>
  <si>
    <t>CONFIG0_B88</t>
  </si>
  <si>
    <t>CONFIG0_B89</t>
  </si>
  <si>
    <t>CONFIG0_B92</t>
  </si>
  <si>
    <t>CONFIG0_B93</t>
  </si>
  <si>
    <t>CONFIG0_B94</t>
  </si>
  <si>
    <t>CONFIG0_B95</t>
  </si>
  <si>
    <t>CONFIG0_B96</t>
  </si>
  <si>
    <t>CONFIG0_B97</t>
  </si>
  <si>
    <t>CONFIG0_B98</t>
  </si>
  <si>
    <t>CONFIG0_B99</t>
  </si>
  <si>
    <t>CONFIG0_B100</t>
  </si>
  <si>
    <t>CONFIG0_B101</t>
  </si>
  <si>
    <t>CONFIG0_B102</t>
  </si>
  <si>
    <t>CONFIG0_B103</t>
  </si>
  <si>
    <t>CONFIG0_B104</t>
  </si>
  <si>
    <t>CONFIG0_B105</t>
  </si>
  <si>
    <t>CONFIG0_B106</t>
  </si>
  <si>
    <t>CONFIG0_B107</t>
  </si>
  <si>
    <t>CONFIG0_B108</t>
  </si>
  <si>
    <t>CONFIG0_B109</t>
  </si>
  <si>
    <t>CONFIG0_B110</t>
  </si>
  <si>
    <t>CONFIG0_B111</t>
  </si>
  <si>
    <t>CONFIG0_B112</t>
  </si>
  <si>
    <t>CONFIG0_B113</t>
  </si>
  <si>
    <t>CONFIG0_B114</t>
  </si>
  <si>
    <t>CONFIG0_B115</t>
  </si>
  <si>
    <t>CONFIG0_B116</t>
  </si>
  <si>
    <t>CONFIG0_B117</t>
  </si>
  <si>
    <t>CONFIG0_B118</t>
  </si>
  <si>
    <t>CONFIG0_B119</t>
  </si>
  <si>
    <t>CONFIG0_B120</t>
  </si>
  <si>
    <t>CONFIG0_B121</t>
  </si>
  <si>
    <t>CONFIG0_B122</t>
  </si>
  <si>
    <t>CONFIG0_B123</t>
  </si>
  <si>
    <t>CONFIG0_B124</t>
  </si>
  <si>
    <t>CONFIG0_B125</t>
  </si>
  <si>
    <t>CONFIG0_B127</t>
  </si>
  <si>
    <t>CONFIG0_B128</t>
  </si>
  <si>
    <t>CONFIG0_B129</t>
  </si>
  <si>
    <t>CONFIG0_B130</t>
  </si>
  <si>
    <t>CONFIG0_B126</t>
  </si>
  <si>
    <t>CONFIG0_B131</t>
  </si>
  <si>
    <t>1. Added "3 - MTP_VALID_VIDEO_CHECK: 0 - Disabled; 1 - Enabled" to MTP_RX_CONFIG.
2. Added fields MTP_PANEL_CLOCK_MAX ~ MTP_DPRX_DBG_VID_VTOTAL_MIN.  If MTP_VALID_VIDEO_CHECK=1, SW will check if the incoming video is within the expected range.  If not, enters black video freerun.
3. Added field MTP_CONFIGURATION_VERSION_ID for Tesla to check what version of EEPROM config / MTP Config have programmed.
4. MTP Map is changed to have only 1 record instead of 3.  It is byte-oriented.  Will be used earier to add automation support to generate binary output with CRC16 calculation.</t>
  </si>
  <si>
    <t>Value</t>
    <phoneticPr fontId="4" type="noConversion"/>
  </si>
  <si>
    <t>AA</t>
    <phoneticPr fontId="4" type="noConversion"/>
  </si>
  <si>
    <t>00</t>
    <phoneticPr fontId="4" type="noConversion"/>
  </si>
  <si>
    <t>00</t>
    <phoneticPr fontId="4" type="noConversion"/>
  </si>
  <si>
    <t>02</t>
    <phoneticPr fontId="4" type="noConversion"/>
  </si>
  <si>
    <t>0B</t>
    <phoneticPr fontId="4" type="noConversion"/>
  </si>
  <si>
    <t>CD</t>
    <phoneticPr fontId="4" type="noConversion"/>
  </si>
  <si>
    <t>05</t>
    <phoneticPr fontId="4" type="noConversion"/>
  </si>
  <si>
    <t>98</t>
    <phoneticPr fontId="4" type="noConversion"/>
  </si>
  <si>
    <t>08</t>
    <phoneticPr fontId="4" type="noConversion"/>
  </si>
  <si>
    <t>94</t>
    <phoneticPr fontId="4" type="noConversion"/>
  </si>
  <si>
    <t>80</t>
    <phoneticPr fontId="4" type="noConversion"/>
  </si>
  <si>
    <t>07</t>
    <phoneticPr fontId="4" type="noConversion"/>
  </si>
  <si>
    <t>2C</t>
    <phoneticPr fontId="4" type="noConversion"/>
  </si>
  <si>
    <t>65</t>
    <phoneticPr fontId="4" type="noConversion"/>
  </si>
  <si>
    <t>04</t>
    <phoneticPr fontId="4" type="noConversion"/>
  </si>
  <si>
    <t>24</t>
    <phoneticPr fontId="4" type="noConversion"/>
  </si>
  <si>
    <t>38</t>
    <phoneticPr fontId="4" type="noConversion"/>
  </si>
  <si>
    <t>85</t>
    <phoneticPr fontId="4" type="noConversion"/>
  </si>
  <si>
    <t>B6</t>
    <phoneticPr fontId="4" type="noConversion"/>
  </si>
  <si>
    <t>FF</t>
    <phoneticPr fontId="4" type="noConversion"/>
  </si>
  <si>
    <t>0C</t>
    <phoneticPr fontId="4" type="noConversion"/>
  </si>
  <si>
    <t>6E</t>
    <phoneticPr fontId="4" type="noConversion"/>
  </si>
  <si>
    <t>A2</t>
    <phoneticPr fontId="4" type="noConversion"/>
  </si>
  <si>
    <t>D2</t>
    <phoneticPr fontId="4" type="noConversion"/>
  </si>
  <si>
    <t>C8</t>
    <phoneticPr fontId="4" type="noConversion"/>
  </si>
  <si>
    <t>8E</t>
    <phoneticPr fontId="4" type="noConversion"/>
  </si>
  <si>
    <t>6F</t>
    <phoneticPr fontId="4" type="noConversion"/>
  </si>
  <si>
    <t>5B</t>
    <phoneticPr fontId="4" type="noConversion"/>
  </si>
  <si>
    <t>42</t>
    <phoneticPr fontId="4" type="noConversion"/>
  </si>
  <si>
    <t>2E</t>
    <phoneticPr fontId="4" type="noConversion"/>
  </si>
  <si>
    <t>8A</t>
    <phoneticPr fontId="4" type="noConversion"/>
  </si>
  <si>
    <t>76</t>
    <phoneticPr fontId="4" type="noConversion"/>
  </si>
  <si>
    <t>D4</t>
    <phoneticPr fontId="4" type="noConversion"/>
  </si>
  <si>
    <t>9B</t>
    <phoneticPr fontId="4" type="noConversion"/>
  </si>
  <si>
    <t>74</t>
    <phoneticPr fontId="4" type="noConversion"/>
  </si>
  <si>
    <t>12</t>
    <phoneticPr fontId="4" type="noConversion"/>
  </si>
  <si>
    <t>01</t>
    <phoneticPr fontId="4" type="noConversion"/>
  </si>
  <si>
    <t>0D</t>
    <phoneticPr fontId="4" type="noConversion"/>
  </si>
  <si>
    <t>59</t>
    <phoneticPr fontId="4" type="noConversion"/>
  </si>
  <si>
    <t>C6</t>
    <phoneticPr fontId="4" type="noConversion"/>
  </si>
  <si>
    <t>60</t>
    <phoneticPr fontId="4" type="noConversion"/>
  </si>
  <si>
    <t>54</t>
    <phoneticPr fontId="4" type="noConversion"/>
  </si>
  <si>
    <t>82</t>
    <phoneticPr fontId="4" type="noConversion"/>
  </si>
  <si>
    <t>1C</t>
    <phoneticPr fontId="4" type="noConversion"/>
  </si>
  <si>
    <t>46</t>
    <phoneticPr fontId="4" type="noConversion"/>
  </si>
  <si>
    <t>41</t>
    <phoneticPr fontId="4" type="noConversion"/>
  </si>
  <si>
    <t>86</t>
    <phoneticPr fontId="4" type="noConversion"/>
  </si>
  <si>
    <t>5D</t>
    <phoneticPr fontId="4" type="noConversion"/>
  </si>
  <si>
    <t>56</t>
    <phoneticPr fontId="4" type="noConversion"/>
  </si>
  <si>
    <t>25</t>
    <phoneticPr fontId="4" type="noConversion"/>
  </si>
  <si>
    <t>C7</t>
    <phoneticPr fontId="4" type="noConversion"/>
  </si>
  <si>
    <t>70</t>
    <phoneticPr fontId="4" type="noConversion"/>
  </si>
  <si>
    <t>9E</t>
    <phoneticPr fontId="4" type="noConversion"/>
  </si>
  <si>
    <t>A6</t>
    <phoneticPr fontId="4" type="noConversion"/>
  </si>
  <si>
    <t>BD</t>
    <phoneticPr fontId="4" type="noConversion"/>
  </si>
  <si>
    <t>AA</t>
    <phoneticPr fontId="4" type="noConversion"/>
  </si>
  <si>
    <t>28</t>
    <phoneticPr fontId="4" type="noConversion"/>
  </si>
  <si>
    <t>CONFIG0_B132</t>
    <phoneticPr fontId="4" type="noConversion"/>
  </si>
  <si>
    <t>CONFIG0_B133</t>
    <phoneticPr fontId="4" type="noConversion"/>
  </si>
  <si>
    <t>MTP_LVDSTX_CTRL</t>
    <phoneticPr fontId="4" type="noConversion"/>
  </si>
  <si>
    <t>[20:16] - value will be written into A/B_POS_NEG_SWAP in LVDS_TX1_PN_SWAP[4:0]
[31:21] - Reserved</t>
    <phoneticPr fontId="4" type="noConversion"/>
  </si>
  <si>
    <t>06</t>
    <phoneticPr fontId="4" type="noConversion"/>
  </si>
  <si>
    <t>89</t>
    <phoneticPr fontId="4" type="noConversion"/>
  </si>
  <si>
    <t>C5</t>
    <phoneticPr fontId="4" type="noConversion"/>
  </si>
  <si>
    <t>81</t>
    <phoneticPr fontId="4" type="noConversion"/>
  </si>
  <si>
    <t>67</t>
    <phoneticPr fontId="4" type="noConversion"/>
  </si>
  <si>
    <t>Left over Configuration Space</t>
    <phoneticPr fontId="4" type="noConversion"/>
  </si>
  <si>
    <t>64</t>
    <phoneticPr fontId="4" type="noConversion"/>
  </si>
  <si>
    <t>GerardP</t>
  </si>
  <si>
    <t>Removed Production data details from Mapping sheet; added Production data in separate sheet
Changed Production Data fields usage: four bytes for ACBIN (at FT)
Changed Tracking data field Fab byte into process-type byte with table indicating type of wafer
Removed 'FT1 done' byte from Production data (not used)
Added a 'free standing' word "OVST Flag" (for CP use) after the Calibration data fields</t>
  </si>
  <si>
    <t>Process type byte 7C09</t>
  </si>
  <si>
    <t>&lt;MP&gt;</t>
  </si>
  <si>
    <t>TT</t>
  </si>
  <si>
    <t>MiM+</t>
  </si>
  <si>
    <t>0x02</t>
  </si>
  <si>
    <t>process type</t>
  </si>
  <si>
    <t>0xxx</t>
  </si>
  <si>
    <t>process type (corners)</t>
  </si>
  <si>
    <t>wafer-type (see table)</t>
  </si>
  <si>
    <t xml:space="preserve"> See table: 0x00 ~ 0x07</t>
  </si>
  <si>
    <t>MiM-</t>
  </si>
  <si>
    <t>0x03</t>
  </si>
  <si>
    <t>SS</t>
  </si>
  <si>
    <t>0x04</t>
  </si>
  <si>
    <t>SF</t>
  </si>
  <si>
    <t>0x05</t>
  </si>
  <si>
    <t>FS</t>
  </si>
  <si>
    <t>0x06</t>
  </si>
  <si>
    <t>FF</t>
  </si>
  <si>
    <t>0x07</t>
  </si>
  <si>
    <t>7C0C</t>
  </si>
  <si>
    <t>ACBIN-7</t>
  </si>
  <si>
    <t>ACBIN-6</t>
  </si>
  <si>
    <t>ACBIN-5</t>
  </si>
  <si>
    <t>ACBIN-4</t>
  </si>
  <si>
    <t>ACBIN-3</t>
  </si>
  <si>
    <t>ACBIN-2</t>
  </si>
  <si>
    <t>ACBIN-1</t>
  </si>
  <si>
    <t>ACBIN-0</t>
  </si>
  <si>
    <t>ACBIN @ FT only; SLVT</t>
  </si>
  <si>
    <t>7C0D</t>
  </si>
  <si>
    <t>ACBIN-11</t>
  </si>
  <si>
    <t>ACBIN-10</t>
  </si>
  <si>
    <t>ACBIN-9</t>
  </si>
  <si>
    <t>ACBIN-8</t>
  </si>
  <si>
    <t>7C0E</t>
  </si>
  <si>
    <t>ACBIN @ FT only; MVT</t>
  </si>
  <si>
    <t>7C0F</t>
  </si>
  <si>
    <t>Legacy, not relevant for Sirius</t>
  </si>
  <si>
    <t xml:space="preserve">process type </t>
  </si>
  <si>
    <t>Two byte CRC over fields 1:5 (to be calculated in CP program)</t>
  </si>
  <si>
    <t>ACBIN Data</t>
  </si>
  <si>
    <t>Ring Oscillator Calibration</t>
    <phoneticPr fontId="32" type="noConversion"/>
  </si>
  <si>
    <t>CAL1_BUCK</t>
    <phoneticPr fontId="32" type="noConversion"/>
  </si>
  <si>
    <t>CAL_CRC</t>
  </si>
  <si>
    <t>Two byte CRC over fields 21:25 (to be calculated in FT program)</t>
  </si>
  <si>
    <t>CP Status bit</t>
  </si>
  <si>
    <t>OVST_done</t>
  </si>
  <si>
    <t>Start address for the configuration data; see MTP Map sheet</t>
  </si>
  <si>
    <t>2-byte CRC over configuration data fields</t>
  </si>
  <si>
    <t>indie Semiconductors Confidential</t>
  </si>
  <si>
    <t>Sirius CUT1.1</t>
  </si>
  <si>
    <t>Jyothsna Nagaraja, Nobuhiro Minami, Pei-Hsin Yang, Ramesh Dandapani, Brett Shih</t>
  </si>
  <si>
    <t>spare</t>
  </si>
  <si>
    <t>copies of all previous fields at address x+512(d)</t>
  </si>
  <si>
    <t>Deprecated. TTL IO Internal Pull-up not supported.</t>
  </si>
  <si>
    <t>SECTION 1 - Tracking</t>
  </si>
  <si>
    <t>mirror for redundancy</t>
  </si>
  <si>
    <t>SECTION 6: OVST Flag</t>
  </si>
  <si>
    <t>SECTION 4 - CONFIGURATION</t>
  </si>
  <si>
    <t>One word to be used as 'flag' when  OVST has been applied</t>
  </si>
  <si>
    <t>You can select any bit(s) in this word to use</t>
  </si>
  <si>
    <t>consolidating updates 0.21/0.22 Brett/Ramesh plus new for 0.23 'mirror' data
Brett fixes:
1. Corrected the version/date due to incorrect field references and non-existent external links.
2. Fixed the MTP Address fields and some corrupted value fields resulting from modifications to the 'Mapping' sheet.
3. Updated the configuration data size in the 'Mapping' sheet from 133 to 134.
Ramesh updates:
4. MTP Map: Put back deprecated MTP_SPI_XIP_EN marking it for future use.
5. MTP Map: Deprecated MTP_GPIO_POD_PUPD_FLIP_EN as Pull-up feature is no longer supported in our IO cells.
Gerard/Ramesh addition:
6. Mapping: included the 'mirror' of fields 1~29 to second half of the MTP space
{we still need to decide if we will implement this; if not these bytes become 'spare' again}
Gerard fix:
7. Calibarion fields were not word aligned after making space for OVST flag; fixed
8. Mapping: some cleanup of section info</t>
  </si>
  <si>
    <t>program as one word</t>
  </si>
  <si>
    <t>See sheet ACBIN Data for details
Four bytes to write two 12bit ACBIN results
program at FT (no CRC required)
program as one word</t>
  </si>
  <si>
    <r>
      <rPr>
        <sz val="11"/>
        <rFont val="Calibri"/>
        <family val="2"/>
      </rPr>
      <t xml:space="preserve">"GHS" CRC over all key fields, including Serial#, </t>
    </r>
  </si>
  <si>
    <t>This is the dusr as to be fetched from the DDA ('key server')
CRCs are included in the dusr
program word by word as fetched from the DDA</t>
  </si>
  <si>
    <t>See sheet Tracking Data for details
Program at CP
program as three 4byte words</t>
  </si>
  <si>
    <t>program as one word @ room temp</t>
  </si>
  <si>
    <t>program all 32b as one word @ roomtemp</t>
  </si>
  <si>
    <t>101~130</t>
  </si>
  <si>
    <t>duplicate of fields 1~30</t>
  </si>
  <si>
    <t>change in Calibrarion data to clarify programming to be done in 32b words, and only at room temp
field numbering updated</t>
  </si>
  <si>
    <t>Buck Regulator Calibration
7D53[7:0]=0b000, TXZ[2:0], TTON[3:2]
7D52[7:0]=TTON[1:0], TNVLY[3:0], TPLIM[3:2]
7D51[7:0]=TPLIM[1:0], TIREF[3:0], TVREF[3:2]
7D50[7:0]=TVREF[1:0], TBGR[5:0]</t>
    <phoneticPr fontId="36" type="noConversion"/>
  </si>
  <si>
    <t>not used</t>
    <phoneticPr fontId="36" type="noConversion"/>
  </si>
  <si>
    <t>7 MSB bits are RC Oscillator Trim Data RCOSC_TRIM[6:0]</t>
    <phoneticPr fontId="36" type="noConversion"/>
  </si>
  <si>
    <t>LVDSTX_3P5mA_ITX setting for 3.5mA for 350mV VOH across 100ohm.
3 MSB bits are ICTL[2:0]</t>
    <phoneticPr fontId="36" type="noConversion"/>
  </si>
  <si>
    <t>Yuichi.S</t>
    <phoneticPr fontId="36" type="noConversion"/>
  </si>
  <si>
    <t>LVTX_3P5mA_ITX_SET</t>
    <phoneticPr fontId="36" type="noConversion"/>
  </si>
  <si>
    <t>Updated Mapping comment of Ring Oscillator Calibration
Updated Mapping comment of LVTX_3P5mA_ITX_SET
Updated Mapping comment of CAL1_BUCK</t>
    <phoneticPr fontId="36" type="noConversion"/>
  </si>
  <si>
    <t>0xBB</t>
  </si>
  <si>
    <t>0xSTUV</t>
  </si>
  <si>
    <t>0x000000000000000000000000</t>
  </si>
  <si>
    <t>SECTION 3 - CALIBRATION {only to be done at FT at room temperature}</t>
  </si>
  <si>
    <t>SECTION 5 Process Monitor data  {only to be written at FT at room temperature}</t>
  </si>
  <si>
    <t>added comment in ACBIN section (only to be done at FT at room temperature)
added comment in Calibration section (only to be done at FT at room temperature)
fixed double mention of LVTX_3P5mA_ITX_SET (field is OK, field was duplicate, removed)</t>
  </si>
  <si>
    <t>filler</t>
  </si>
  <si>
    <t>Brett.S</t>
    <phoneticPr fontId="36" type="noConversion"/>
  </si>
  <si>
    <t xml:space="preserve">Deprecated MTP_GPIO_POD_PUPD_FLIP_EN since Pull-up Pull-down Flip as internal Pull-up are not supported on GPIO cells. </t>
    <phoneticPr fontId="4" type="noConversion"/>
  </si>
  <si>
    <t>MTP_SPARE_CONFIG0_B7b5_0</t>
    <phoneticPr fontId="4" type="noConversion"/>
  </si>
  <si>
    <t>Update the CONFIG0_CRC value to Big Endian
Corrected the sub-field name from MTP_SPARE_CONFIG0_B6b5_0 to MTP_SPARE_CONFIG0_B7b5_0</t>
    <phoneticPr fontId="36" type="noConversion"/>
  </si>
  <si>
    <t>FT_Data  SLVT  LSB</t>
  </si>
  <si>
    <t>FT_Data  SLVT  MSB</t>
  </si>
  <si>
    <t>0.27p1</t>
  </si>
  <si>
    <t>Updated field descriptions for ACBIN (fields 7~10)</t>
  </si>
  <si>
    <t>added new Configuration bit and changed description of exisiting one in CONFIG0_B4 (Board selection and IROM/FLASH run selection)</t>
  </si>
  <si>
    <t>PCB: no (0) or yes (1) SPI_FLASH design</t>
  </si>
  <si>
    <t>MTP_PCB_FLASH</t>
  </si>
  <si>
    <t>MTP_RUN_IROM</t>
  </si>
  <si>
    <t>Run Application from IROM (o) or SPI_FLASH(1)</t>
  </si>
  <si>
    <t>When no SPI_FLASH design, ENBLKT outputs on pin23
When the PCB supports SPI_FLASH, ENBLKT outputs on pin 27</t>
  </si>
  <si>
    <t>Selects if APPL runs from IROM (default when MTP_PCB_FLASH = 0) or from SPI_FLASH (only when MTP_PCB_FLASH = 1)
This allows for an SPI_FLASH designed board, to run either IROM or SPI_FLASH application</t>
  </si>
  <si>
    <t>00 - Default UART_EN=1 is TX=LVCFG_SW, RX=PVCCEN
01 - ALT1_UART_EN=1 is TX=AUX_SCL,RX=AUX_SDA
10 - ALT2_UART_EN=1 is TX=SYS_SCL,RX=SYS_SDA
11 - UART_DISABLED</t>
  </si>
  <si>
    <t>0 - Default Slave I2C Address 0xE0 (0x70) for Host Interface (Default)
'1 - Use MTP_I2C_SLAVE_ADDR</t>
  </si>
  <si>
    <t>MTP DPRX CONFIGURATION
0 - MTP_DPCD_0000Dh_eDP_ASSR_CAP : ASSR 
1 - MTP_DPCD_00002h_EFRM_CAP : Enhanced Framing Capability
2 - MTP_DPRX_POST_LT_ADJ_REQ_SUP : 0 Not Supported ; 1 - Supported.
3 - MTP_VALID_VIDEO_CHECK: 0 - Disabled; 1 - Enabled
5:4 - MTP_DPRX_LT_TYPE : 00 - Normal LT ; 01 - Accurate LT ; 10 - NOAUX_LT
6 - MTP_DPRX_LT_TPS3_NO_SUP : 0 - Supported ;  1 - Not Supported
7 - MTP_DPRX_LT_TPS4_NO_SUP : 0 - Supported ;  1 - Not Supported</t>
  </si>
  <si>
    <t>0 - If b0=1, Set DPCD 000Dh b0 to 1
1 - If b1=1, Set DPCD 0002h b7
2 - If b2=1, Set DPCD 0002h b5 POST_LT_ADJ_REQ_SUPPORTED
3 - If b3=1, Use fields from MTP_PANEL_CLOCK_MAX to MTP_DPRX_DBG_VID_VACT_WIDTH_MIN to check if incoming video is within expected range.  If not, enters black video freerun.
4 - b4=0 for Normal LT ; b4=1 for Accurate LT
5 - If b5=1, Set DPCD 0003h b6 NO_AUX_TRANSACTION_LINK_TRAINING
6 - If b6=0, Set DPCD 0002h b6 TPS3_SUPPORTED
7 -  If b7=0, Set DPCD 0003h b7 TPS4_SUPPORTED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</si>
</sst>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quot;KBytes&quot;"/>
    <numFmt numFmtId="166" formatCode="[$-409]d\-mmm\-yy;@"/>
  </numFmts>
  <fonts count="43">
    <font>
      <sz val="11"/>
      <color theme="1"/>
      <name val="Calibri"/>
      <family val="2"/>
      <scheme val="minor"/>
    </font>
    <font>
      <sz val="10"/>
      <name val="Arial"/>
      <family val="2"/>
    </font>
    <font>
      <sz val="10"/>
      <name val="Arial"/>
      <family val="2"/>
    </font>
    <font>
      <sz val="8"/>
      <name val="Arial Narrow"/>
      <family val="2"/>
    </font>
    <font>
      <sz val="8"/>
      <name val="Calibri"/>
      <family val="2"/>
    </font>
    <font>
      <sz val="10"/>
      <name val="Arial Narrow"/>
      <family val="2"/>
    </font>
    <font>
      <b/>
      <sz val="10"/>
      <name val="Arial Narrow"/>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b/>
      <sz val="11"/>
      <color rgb="FFC00000"/>
      <name val="Calibri"/>
      <family val="2"/>
      <scheme val="minor"/>
    </font>
    <font>
      <b/>
      <sz val="11"/>
      <name val="Calibri"/>
      <family val="2"/>
      <scheme val="minor"/>
    </font>
    <font>
      <sz val="10"/>
      <name val="Calibri"/>
      <family val="2"/>
      <scheme val="minor"/>
    </font>
    <font>
      <sz val="10"/>
      <color theme="1"/>
      <name val="Calibri"/>
      <family val="2"/>
      <scheme val="minor"/>
    </font>
    <font>
      <b/>
      <sz val="14"/>
      <name val="Calibri"/>
      <family val="2"/>
      <scheme val="minor"/>
    </font>
    <font>
      <sz val="11"/>
      <color rgb="FF0070C0"/>
      <name val="Calibri"/>
      <family val="2"/>
      <scheme val="minor"/>
    </font>
    <font>
      <b/>
      <sz val="11"/>
      <color rgb="FFFF0000"/>
      <name val="Calibri"/>
      <family val="2"/>
      <scheme val="minor"/>
    </font>
    <font>
      <sz val="10"/>
      <color theme="1"/>
      <name val="Arial Narrow"/>
      <family val="2"/>
    </font>
    <font>
      <b/>
      <sz val="16"/>
      <name val="Calibri"/>
      <family val="2"/>
      <scheme val="minor"/>
    </font>
    <font>
      <b/>
      <sz val="10"/>
      <color theme="0"/>
      <name val="Arial Narrow"/>
      <family val="2"/>
    </font>
    <font>
      <b/>
      <sz val="10"/>
      <color theme="1"/>
      <name val="Arial Narrow"/>
      <family val="2"/>
    </font>
    <font>
      <sz val="9"/>
      <name val="Calibri"/>
      <family val="3"/>
      <charset val="136"/>
      <scheme val="minor"/>
    </font>
    <font>
      <sz val="11"/>
      <color theme="1"/>
      <name val="Calibri"/>
      <family val="1"/>
      <charset val="136"/>
      <scheme val="minor"/>
    </font>
    <font>
      <b/>
      <sz val="11"/>
      <color theme="1"/>
      <name val="Calibri"/>
      <family val="1"/>
      <charset val="136"/>
      <scheme val="minor"/>
    </font>
    <font>
      <sz val="11"/>
      <color rgb="FFFF0000"/>
      <name val="Calibri"/>
      <family val="1"/>
      <charset val="136"/>
      <scheme val="minor"/>
    </font>
    <font>
      <b/>
      <sz val="11"/>
      <color rgb="FF333333"/>
      <name val="Calibri"/>
      <family val="2"/>
    </font>
    <font>
      <sz val="11"/>
      <name val="Calibri"/>
      <family val="2"/>
    </font>
    <font>
      <b/>
      <sz val="10"/>
      <color theme="9" tint="-0.249977111117893"/>
      <name val="Arial Narrow"/>
      <family val="2"/>
    </font>
  </fonts>
  <fills count="50">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rgb="FF000000"/>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66"/>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style="medium">
        <color rgb="FFFFFFFF"/>
      </right>
      <top/>
      <bottom style="medium">
        <color indexed="64"/>
      </bottom>
      <diagonal/>
    </border>
    <border>
      <left style="thin">
        <color indexed="64"/>
      </left>
      <right/>
      <top/>
      <bottom/>
      <diagonal/>
    </border>
    <border>
      <left/>
      <right style="medium">
        <color rgb="FFFFFFFF"/>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medium">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s>
  <cellStyleXfs count="45">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9" fillId="26" borderId="0" applyNumberFormat="0" applyBorder="0" applyAlignment="0" applyProtection="0"/>
    <xf numFmtId="0" fontId="10" fillId="27" borderId="48" applyNumberFormat="0" applyAlignment="0" applyProtection="0"/>
    <xf numFmtId="0" fontId="11" fillId="28" borderId="49" applyNumberFormat="0" applyAlignment="0" applyProtection="0"/>
    <xf numFmtId="0" fontId="12" fillId="0" borderId="0" applyNumberFormat="0" applyFill="0" applyBorder="0" applyAlignment="0" applyProtection="0"/>
    <xf numFmtId="0" fontId="13" fillId="29" borderId="0" applyNumberFormat="0" applyBorder="0" applyAlignment="0" applyProtection="0"/>
    <xf numFmtId="0" fontId="14" fillId="0" borderId="50" applyNumberFormat="0" applyFill="0" applyAlignment="0" applyProtection="0"/>
    <xf numFmtId="0" fontId="15" fillId="0" borderId="51" applyNumberFormat="0" applyFill="0" applyAlignment="0" applyProtection="0"/>
    <xf numFmtId="0" fontId="16" fillId="0" borderId="52" applyNumberFormat="0" applyFill="0" applyAlignment="0" applyProtection="0"/>
    <xf numFmtId="0" fontId="16" fillId="0" borderId="0" applyNumberFormat="0" applyFill="0" applyBorder="0" applyAlignment="0" applyProtection="0"/>
    <xf numFmtId="0" fontId="17" fillId="30" borderId="48" applyNumberFormat="0" applyAlignment="0" applyProtection="0"/>
    <xf numFmtId="0" fontId="18" fillId="0" borderId="53" applyNumberFormat="0" applyFill="0" applyAlignment="0" applyProtection="0"/>
    <xf numFmtId="0" fontId="19" fillId="31" borderId="0" applyNumberFormat="0" applyBorder="0" applyAlignment="0" applyProtection="0"/>
    <xf numFmtId="0" fontId="1" fillId="0" borderId="0"/>
    <xf numFmtId="0" fontId="2" fillId="0" borderId="0"/>
    <xf numFmtId="0" fontId="1" fillId="0" borderId="0"/>
    <xf numFmtId="0" fontId="7" fillId="32" borderId="54" applyNumberFormat="0" applyFont="0" applyAlignment="0" applyProtection="0"/>
    <xf numFmtId="0" fontId="20" fillId="27" borderId="55" applyNumberFormat="0" applyAlignment="0" applyProtection="0"/>
    <xf numFmtId="0" fontId="21" fillId="0" borderId="0" applyNumberFormat="0" applyFill="0" applyBorder="0" applyAlignment="0" applyProtection="0"/>
    <xf numFmtId="0" fontId="22" fillId="0" borderId="56" applyNumberFormat="0" applyFill="0" applyAlignment="0" applyProtection="0"/>
    <xf numFmtId="0" fontId="23" fillId="0" borderId="0" applyNumberFormat="0" applyFill="0" applyBorder="0" applyAlignment="0" applyProtection="0"/>
  </cellStyleXfs>
  <cellXfs count="364">
    <xf numFmtId="0" fontId="0" fillId="0" borderId="0" xfId="0"/>
    <xf numFmtId="0" fontId="24" fillId="0" borderId="0" xfId="37" applyFont="1" applyAlignment="1">
      <alignment horizontal="center"/>
    </xf>
    <xf numFmtId="0" fontId="24" fillId="0" borderId="0" xfId="37" applyFont="1"/>
    <xf numFmtId="0" fontId="24" fillId="0" borderId="0" xfId="37" applyFont="1" applyAlignment="1">
      <alignment horizontal="left"/>
    </xf>
    <xf numFmtId="0" fontId="25" fillId="33" borderId="0" xfId="37" applyFont="1" applyFill="1"/>
    <xf numFmtId="0" fontId="26" fillId="33" borderId="0" xfId="37" applyFont="1" applyFill="1" applyAlignment="1">
      <alignment horizontal="center"/>
    </xf>
    <xf numFmtId="0" fontId="26" fillId="33" borderId="0" xfId="37" applyFont="1" applyFill="1" applyAlignment="1">
      <alignment horizontal="left"/>
    </xf>
    <xf numFmtId="0" fontId="27" fillId="0" borderId="1" xfId="37" applyFont="1" applyBorder="1" applyAlignment="1">
      <alignment horizontal="center" vertical="center" wrapText="1"/>
    </xf>
    <xf numFmtId="0" fontId="27" fillId="0" borderId="1" xfId="37" applyFont="1" applyBorder="1" applyAlignment="1">
      <alignment vertical="center" wrapText="1"/>
    </xf>
    <xf numFmtId="15" fontId="28" fillId="0" borderId="1" xfId="37" applyNumberFormat="1" applyFont="1" applyBorder="1" applyAlignment="1">
      <alignment horizontal="center" vertical="center" wrapText="1"/>
    </xf>
    <xf numFmtId="0" fontId="26" fillId="0" borderId="0" xfId="37" applyFont="1" applyAlignment="1">
      <alignment horizontal="left"/>
    </xf>
    <xf numFmtId="0" fontId="26" fillId="0" borderId="0" xfId="37" applyFont="1"/>
    <xf numFmtId="0" fontId="29" fillId="0" borderId="0" xfId="37" applyFont="1" applyAlignment="1">
      <alignment horizontal="left"/>
    </xf>
    <xf numFmtId="15" fontId="29" fillId="0" borderId="0" xfId="37" applyNumberFormat="1" applyFont="1" applyAlignment="1">
      <alignment horizontal="left"/>
    </xf>
    <xf numFmtId="0" fontId="0" fillId="0" borderId="0" xfId="0" applyAlignment="1">
      <alignment horizontal="right"/>
    </xf>
    <xf numFmtId="0" fontId="24" fillId="0" borderId="1" xfId="37" applyFont="1" applyBorder="1" applyAlignment="1">
      <alignment horizontal="center" vertical="center"/>
    </xf>
    <xf numFmtId="0" fontId="0" fillId="0" borderId="1" xfId="0" applyBorder="1" applyAlignment="1">
      <alignment horizontal="center" vertical="center"/>
    </xf>
    <xf numFmtId="0" fontId="24" fillId="0" borderId="2" xfId="37" applyFont="1" applyBorder="1" applyAlignment="1">
      <alignment horizontal="center" vertical="center"/>
    </xf>
    <xf numFmtId="0" fontId="0" fillId="0" borderId="2" xfId="0" applyBorder="1" applyAlignment="1">
      <alignment horizontal="center" vertical="center"/>
    </xf>
    <xf numFmtId="0" fontId="0" fillId="0" borderId="3" xfId="0" applyBorder="1"/>
    <xf numFmtId="0" fontId="0" fillId="0" borderId="4" xfId="0" applyBorder="1" applyAlignment="1">
      <alignment horizontal="center" vertical="center"/>
    </xf>
    <xf numFmtId="0" fontId="24" fillId="0" borderId="5" xfId="37" applyFont="1" applyBorder="1" applyAlignment="1">
      <alignment horizontal="center"/>
    </xf>
    <xf numFmtId="0" fontId="24" fillId="0" borderId="5" xfId="37" applyFon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24" fillId="0" borderId="7" xfId="37" applyFont="1" applyBorder="1" applyAlignment="1">
      <alignment horizontal="center" vertical="center" wrapText="1"/>
    </xf>
    <xf numFmtId="0" fontId="22" fillId="0" borderId="1" xfId="0" applyFont="1" applyBorder="1"/>
    <xf numFmtId="0" fontId="22" fillId="0" borderId="8" xfId="0" applyFont="1" applyBorder="1"/>
    <xf numFmtId="0" fontId="22" fillId="0" borderId="9" xfId="0" applyFont="1" applyBorder="1"/>
    <xf numFmtId="0" fontId="22" fillId="0" borderId="10" xfId="0" applyFont="1" applyBorder="1"/>
    <xf numFmtId="0" fontId="0" fillId="0" borderId="11" xfId="0" applyBorder="1" applyAlignment="1">
      <alignment horizontal="center" vertical="center"/>
    </xf>
    <xf numFmtId="0" fontId="0" fillId="0" borderId="12" xfId="0" applyBorder="1" applyAlignment="1">
      <alignment horizontal="center" vertical="center"/>
    </xf>
    <xf numFmtId="0" fontId="24" fillId="0" borderId="13" xfId="37" applyFont="1" applyBorder="1" applyAlignment="1">
      <alignment horizontal="center" vertical="center" wrapText="1"/>
    </xf>
    <xf numFmtId="0" fontId="0" fillId="0" borderId="14" xfId="0" applyBorder="1" applyAlignment="1">
      <alignment horizontal="center" vertical="center"/>
    </xf>
    <xf numFmtId="0" fontId="24" fillId="0" borderId="15" xfId="37" applyFont="1" applyBorder="1" applyAlignment="1">
      <alignment horizontal="center" vertical="center" wrapText="1"/>
    </xf>
    <xf numFmtId="0" fontId="0" fillId="0" borderId="6" xfId="0" applyBorder="1"/>
    <xf numFmtId="0" fontId="24" fillId="0" borderId="7" xfId="37" applyFont="1" applyBorder="1" applyAlignment="1">
      <alignment horizontal="center"/>
    </xf>
    <xf numFmtId="0" fontId="24" fillId="0" borderId="7" xfId="37" applyFont="1"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quotePrefix="1" applyAlignment="1">
      <alignment horizontal="right"/>
    </xf>
    <xf numFmtId="0" fontId="0" fillId="0" borderId="0" xfId="0"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17" xfId="0" quotePrefix="1" applyBorder="1" applyAlignment="1">
      <alignment horizontal="center" vertical="center"/>
    </xf>
    <xf numFmtId="0" fontId="0" fillId="0" borderId="21" xfId="0" quotePrefix="1" applyBorder="1" applyAlignment="1">
      <alignment horizontal="center" vertical="center"/>
    </xf>
    <xf numFmtId="0" fontId="22" fillId="0" borderId="23" xfId="0" applyFont="1" applyBorder="1" applyAlignment="1">
      <alignment vertical="center"/>
    </xf>
    <xf numFmtId="0" fontId="22" fillId="0" borderId="24" xfId="0" applyFont="1" applyBorder="1" applyAlignment="1">
      <alignment vertical="center"/>
    </xf>
    <xf numFmtId="0" fontId="22" fillId="0" borderId="25" xfId="0" applyFont="1" applyBorder="1" applyAlignment="1">
      <alignment vertical="center"/>
    </xf>
    <xf numFmtId="165" fontId="22" fillId="0" borderId="23" xfId="0" applyNumberFormat="1" applyFont="1" applyBorder="1" applyAlignment="1">
      <alignment vertical="center"/>
    </xf>
    <xf numFmtId="165" fontId="22" fillId="0" borderId="24" xfId="0" applyNumberFormat="1" applyFont="1" applyBorder="1" applyAlignment="1">
      <alignment vertical="center"/>
    </xf>
    <xf numFmtId="165" fontId="22" fillId="0" borderId="25" xfId="0" applyNumberFormat="1" applyFont="1" applyBorder="1" applyAlignment="1">
      <alignment vertical="center"/>
    </xf>
    <xf numFmtId="0" fontId="0" fillId="0" borderId="26" xfId="0" applyBorder="1"/>
    <xf numFmtId="0" fontId="0" fillId="0" borderId="27" xfId="0" applyBorder="1"/>
    <xf numFmtId="0" fontId="0" fillId="0" borderId="28" xfId="0" applyBorder="1"/>
    <xf numFmtId="0" fontId="24" fillId="0" borderId="8" xfId="37" applyFont="1" applyBorder="1" applyAlignment="1">
      <alignment horizontal="center"/>
    </xf>
    <xf numFmtId="0" fontId="24" fillId="0" borderId="9" xfId="37" applyFont="1" applyBorder="1" applyAlignment="1">
      <alignment horizontal="center"/>
    </xf>
    <xf numFmtId="0" fontId="24" fillId="0" borderId="3" xfId="37" applyFont="1" applyBorder="1" applyAlignment="1">
      <alignment horizontal="center"/>
    </xf>
    <xf numFmtId="0" fontId="24" fillId="0" borderId="1" xfId="37" applyFont="1" applyBorder="1"/>
    <xf numFmtId="0" fontId="24" fillId="0" borderId="29" xfId="37" applyFont="1" applyBorder="1" applyAlignment="1">
      <alignment horizontal="center"/>
    </xf>
    <xf numFmtId="0" fontId="24" fillId="0" borderId="30" xfId="37" applyFont="1" applyBorder="1" applyAlignment="1">
      <alignment horizontal="center" vertical="center"/>
    </xf>
    <xf numFmtId="0" fontId="0" fillId="0" borderId="30" xfId="0" applyBorder="1" applyAlignment="1">
      <alignment horizontal="center" vertical="center"/>
    </xf>
    <xf numFmtId="0" fontId="0" fillId="0" borderId="23" xfId="0" applyBorder="1"/>
    <xf numFmtId="165" fontId="22" fillId="0" borderId="23" xfId="0" applyNumberFormat="1" applyFont="1" applyBorder="1" applyAlignment="1">
      <alignment horizontal="right" vertical="center"/>
    </xf>
    <xf numFmtId="0" fontId="24" fillId="0" borderId="1" xfId="37" applyFont="1" applyBorder="1" applyAlignment="1">
      <alignment horizontal="center" vertical="top"/>
    </xf>
    <xf numFmtId="15" fontId="28" fillId="0" borderId="1" xfId="37" applyNumberFormat="1" applyFont="1" applyBorder="1" applyAlignment="1">
      <alignment horizontal="center" vertical="top" wrapText="1"/>
    </xf>
    <xf numFmtId="0" fontId="24" fillId="0" borderId="1" xfId="37" applyFont="1" applyBorder="1" applyAlignment="1">
      <alignment horizontal="left" vertical="top" wrapText="1"/>
    </xf>
    <xf numFmtId="0" fontId="24" fillId="0" borderId="1" xfId="37" applyFont="1" applyBorder="1" applyAlignment="1">
      <alignment horizontal="left" vertical="top"/>
    </xf>
    <xf numFmtId="0" fontId="30" fillId="0" borderId="0" xfId="0" applyFont="1"/>
    <xf numFmtId="0" fontId="23" fillId="0" borderId="0" xfId="37" applyFont="1" applyAlignment="1">
      <alignment horizontal="left" vertical="top"/>
    </xf>
    <xf numFmtId="0" fontId="24" fillId="35" borderId="5" xfId="37" applyFont="1" applyFill="1" applyBorder="1" applyAlignment="1">
      <alignment horizontal="center"/>
    </xf>
    <xf numFmtId="14" fontId="24" fillId="0" borderId="1" xfId="37" applyNumberFormat="1" applyFont="1" applyBorder="1"/>
    <xf numFmtId="0" fontId="24" fillId="0" borderId="1" xfId="37" quotePrefix="1" applyFont="1" applyBorder="1" applyAlignment="1">
      <alignment horizontal="right"/>
    </xf>
    <xf numFmtId="0" fontId="24" fillId="0" borderId="1" xfId="37" applyFont="1" applyBorder="1" applyAlignment="1">
      <alignment wrapText="1"/>
    </xf>
    <xf numFmtId="0" fontId="22" fillId="0" borderId="0" xfId="0" applyFont="1"/>
    <xf numFmtId="14" fontId="22" fillId="0" borderId="0" xfId="0" applyNumberFormat="1" applyFont="1" applyAlignment="1">
      <alignment horizontal="right"/>
    </xf>
    <xf numFmtId="14" fontId="22" fillId="0" borderId="0" xfId="0" applyNumberFormat="1" applyFont="1"/>
    <xf numFmtId="16" fontId="24" fillId="0" borderId="1" xfId="37" applyNumberFormat="1" applyFont="1" applyBorder="1"/>
    <xf numFmtId="0" fontId="24" fillId="0" borderId="1" xfId="37" applyFont="1" applyBorder="1" applyAlignment="1">
      <alignment vertical="top" wrapText="1"/>
    </xf>
    <xf numFmtId="0" fontId="0" fillId="0" borderId="0" xfId="0" applyAlignment="1">
      <alignment horizontal="center"/>
    </xf>
    <xf numFmtId="0" fontId="22" fillId="0" borderId="23" xfId="0" applyFont="1" applyBorder="1" applyAlignment="1">
      <alignment horizontal="center" vertical="center"/>
    </xf>
    <xf numFmtId="0" fontId="22" fillId="0" borderId="25" xfId="0" applyFont="1" applyBorder="1" applyAlignment="1">
      <alignment horizontal="center" vertical="center"/>
    </xf>
    <xf numFmtId="0" fontId="31" fillId="0" borderId="0" xfId="0" applyFont="1"/>
    <xf numFmtId="0" fontId="24" fillId="39" borderId="2" xfId="37" applyFont="1" applyFill="1" applyBorder="1" applyAlignment="1">
      <alignment horizontal="center" vertical="center"/>
    </xf>
    <xf numFmtId="0" fontId="24" fillId="39" borderId="1" xfId="37" applyFont="1" applyFill="1" applyBorder="1" applyAlignment="1">
      <alignment horizontal="center" vertical="center"/>
    </xf>
    <xf numFmtId="0" fontId="24" fillId="39" borderId="1" xfId="0" applyFont="1" applyFill="1" applyBorder="1" applyAlignment="1">
      <alignment horizontal="center" vertical="center"/>
    </xf>
    <xf numFmtId="0" fontId="24" fillId="39" borderId="32" xfId="0" applyFont="1" applyFill="1" applyBorder="1" applyAlignment="1">
      <alignment horizontal="left" vertical="center"/>
    </xf>
    <xf numFmtId="0" fontId="24" fillId="39" borderId="33" xfId="0" applyFont="1" applyFill="1" applyBorder="1" applyAlignment="1">
      <alignment horizontal="left" vertical="center"/>
    </xf>
    <xf numFmtId="0" fontId="24" fillId="38" borderId="2" xfId="37" applyFont="1" applyFill="1" applyBorder="1" applyAlignment="1">
      <alignment horizontal="center" vertical="center"/>
    </xf>
    <xf numFmtId="0" fontId="24" fillId="38" borderId="1" xfId="37" applyFont="1" applyFill="1" applyBorder="1" applyAlignment="1">
      <alignment horizontal="center" vertical="center"/>
    </xf>
    <xf numFmtId="0" fontId="24" fillId="38" borderId="30" xfId="37" applyFont="1" applyFill="1" applyBorder="1" applyAlignment="1">
      <alignment horizontal="center" vertical="center"/>
    </xf>
    <xf numFmtId="0" fontId="24" fillId="38" borderId="32" xfId="37" applyFont="1" applyFill="1" applyBorder="1" applyAlignment="1">
      <alignment horizontal="left" vertical="center"/>
    </xf>
    <xf numFmtId="0" fontId="24" fillId="38" borderId="33" xfId="37" applyFont="1" applyFill="1" applyBorder="1" applyAlignment="1">
      <alignment horizontal="left" vertical="center"/>
    </xf>
    <xf numFmtId="0" fontId="24" fillId="38" borderId="34" xfId="37" applyFont="1" applyFill="1" applyBorder="1" applyAlignment="1">
      <alignment horizontal="left" vertical="center"/>
    </xf>
    <xf numFmtId="0" fontId="24" fillId="36" borderId="1" xfId="37" applyFont="1" applyFill="1" applyBorder="1" applyAlignment="1">
      <alignment horizontal="center" vertical="center"/>
    </xf>
    <xf numFmtId="0" fontId="24" fillId="36" borderId="33" xfId="37" applyFont="1" applyFill="1" applyBorder="1" applyAlignment="1">
      <alignment horizontal="left" vertical="center"/>
    </xf>
    <xf numFmtId="0" fontId="24" fillId="38" borderId="36" xfId="37" applyFont="1" applyFill="1" applyBorder="1" applyAlignment="1">
      <alignment horizontal="center" vertical="center"/>
    </xf>
    <xf numFmtId="0" fontId="26" fillId="42" borderId="37" xfId="39" applyFont="1" applyFill="1" applyBorder="1" applyAlignment="1">
      <alignment horizontal="center" vertical="center"/>
    </xf>
    <xf numFmtId="0" fontId="26" fillId="42" borderId="7" xfId="39" applyFont="1" applyFill="1" applyBorder="1" applyAlignment="1">
      <alignment horizontal="center" vertical="center"/>
    </xf>
    <xf numFmtId="0" fontId="26" fillId="0" borderId="27" xfId="39" applyFont="1" applyBorder="1" applyAlignment="1">
      <alignment horizontal="center" vertical="center"/>
    </xf>
    <xf numFmtId="0" fontId="3" fillId="38" borderId="1" xfId="37" applyFont="1" applyFill="1" applyBorder="1" applyAlignment="1">
      <alignment horizontal="center" vertical="center"/>
    </xf>
    <xf numFmtId="2" fontId="22" fillId="0" borderId="12" xfId="0" applyNumberFormat="1" applyFont="1" applyBorder="1" applyAlignment="1">
      <alignment horizontal="center" vertical="center"/>
    </xf>
    <xf numFmtId="164" fontId="22" fillId="0" borderId="12" xfId="0" applyNumberFormat="1" applyFont="1" applyBorder="1" applyAlignment="1">
      <alignment horizontal="center" vertical="center"/>
    </xf>
    <xf numFmtId="0" fontId="24" fillId="0" borderId="0" xfId="37" applyFont="1" applyAlignment="1">
      <alignment vertical="center" wrapText="1"/>
    </xf>
    <xf numFmtId="0" fontId="32" fillId="0" borderId="12" xfId="0" applyFont="1" applyBorder="1" applyAlignment="1">
      <alignment horizontal="center" vertical="center" wrapText="1"/>
    </xf>
    <xf numFmtId="49" fontId="0" fillId="0" borderId="0" xfId="0" applyNumberFormat="1"/>
    <xf numFmtId="0" fontId="5" fillId="0" borderId="12" xfId="0" applyFont="1" applyBorder="1" applyAlignment="1">
      <alignment horizontal="center" vertical="center" wrapText="1"/>
    </xf>
    <xf numFmtId="0" fontId="5" fillId="0" borderId="25" xfId="0" applyFont="1" applyBorder="1" applyAlignment="1">
      <alignment vertical="center" wrapText="1"/>
    </xf>
    <xf numFmtId="0" fontId="5" fillId="0" borderId="14" xfId="0" applyFont="1" applyBorder="1" applyAlignment="1">
      <alignment vertical="center" wrapText="1"/>
    </xf>
    <xf numFmtId="0" fontId="5" fillId="0" borderId="25" xfId="0" quotePrefix="1" applyFont="1" applyBorder="1" applyAlignment="1">
      <alignment horizontal="center" vertical="center" wrapText="1"/>
    </xf>
    <xf numFmtId="0" fontId="5" fillId="0" borderId="14" xfId="0" applyFont="1" applyBorder="1" applyAlignment="1">
      <alignment horizontal="center" vertical="center" wrapText="1"/>
    </xf>
    <xf numFmtId="0" fontId="5" fillId="0" borderId="20" xfId="0" quotePrefix="1" applyFont="1" applyBorder="1" applyAlignment="1">
      <alignment horizontal="center" vertical="center" wrapText="1"/>
    </xf>
    <xf numFmtId="0" fontId="5" fillId="0" borderId="25" xfId="0" applyFont="1" applyBorder="1" applyAlignment="1">
      <alignment horizontal="center" vertical="center" wrapText="1"/>
    </xf>
    <xf numFmtId="0" fontId="5" fillId="0" borderId="16" xfId="0" applyFont="1" applyBorder="1" applyAlignment="1">
      <alignment horizontal="center" vertical="center" wrapText="1"/>
    </xf>
    <xf numFmtId="49" fontId="5" fillId="0" borderId="40" xfId="0" quotePrefix="1" applyNumberFormat="1" applyFont="1" applyBorder="1" applyAlignment="1">
      <alignment horizontal="center" vertical="center" wrapText="1"/>
    </xf>
    <xf numFmtId="0" fontId="5" fillId="0" borderId="12" xfId="0" applyFont="1" applyBorder="1" applyAlignment="1">
      <alignment horizontal="left" vertical="center" wrapText="1"/>
    </xf>
    <xf numFmtId="0" fontId="23" fillId="0" borderId="0" xfId="0" applyFont="1"/>
    <xf numFmtId="0" fontId="5" fillId="0" borderId="14" xfId="0" applyFont="1" applyBorder="1" applyAlignment="1">
      <alignment horizontal="left" vertical="center" wrapText="1"/>
    </xf>
    <xf numFmtId="0" fontId="24" fillId="0" borderId="0" xfId="0" applyFont="1"/>
    <xf numFmtId="0" fontId="5" fillId="0" borderId="12" xfId="0" quotePrefix="1" applyFont="1" applyBorder="1" applyAlignment="1">
      <alignment horizontal="center" vertical="center" wrapText="1"/>
    </xf>
    <xf numFmtId="49" fontId="5" fillId="0" borderId="12" xfId="0" quotePrefix="1" applyNumberFormat="1" applyFont="1" applyBorder="1" applyAlignment="1">
      <alignment horizontal="center" vertical="center" wrapText="1"/>
    </xf>
    <xf numFmtId="49" fontId="5" fillId="0" borderId="14" xfId="0" quotePrefix="1" applyNumberFormat="1" applyFont="1" applyBorder="1" applyAlignment="1">
      <alignment horizontal="center" vertical="center" wrapText="1"/>
    </xf>
    <xf numFmtId="0" fontId="5" fillId="0" borderId="40" xfId="0" applyFont="1" applyBorder="1" applyAlignment="1">
      <alignment horizontal="center" vertical="center" wrapText="1"/>
    </xf>
    <xf numFmtId="0" fontId="5" fillId="0" borderId="0" xfId="0" applyFont="1" applyAlignment="1">
      <alignment horizontal="center" vertical="center" wrapText="1"/>
    </xf>
    <xf numFmtId="49" fontId="5" fillId="0" borderId="12" xfId="0" applyNumberFormat="1" applyFont="1" applyBorder="1" applyAlignment="1">
      <alignment horizontal="center" vertical="center" wrapText="1"/>
    </xf>
    <xf numFmtId="49" fontId="5" fillId="0" borderId="40" xfId="0" applyNumberFormat="1" applyFont="1" applyBorder="1" applyAlignment="1">
      <alignment horizontal="center" vertical="center" wrapText="1"/>
    </xf>
    <xf numFmtId="0" fontId="5" fillId="0" borderId="41" xfId="0" applyFont="1" applyBorder="1" applyAlignment="1">
      <alignment horizontal="center" vertical="center" wrapText="1"/>
    </xf>
    <xf numFmtId="0" fontId="5" fillId="0" borderId="1" xfId="0" applyFont="1" applyBorder="1" applyAlignment="1">
      <alignment horizontal="center" vertical="center" wrapText="1"/>
    </xf>
    <xf numFmtId="0" fontId="5" fillId="0" borderId="14" xfId="0" quotePrefix="1" applyFont="1" applyBorder="1" applyAlignment="1">
      <alignment horizontal="left" vertical="center" wrapText="1"/>
    </xf>
    <xf numFmtId="49" fontId="24" fillId="0" borderId="1" xfId="0" applyNumberFormat="1" applyFont="1" applyBorder="1"/>
    <xf numFmtId="0" fontId="24" fillId="0" borderId="0" xfId="0" applyFont="1" applyAlignment="1">
      <alignment horizontal="center" vertical="center"/>
    </xf>
    <xf numFmtId="0" fontId="5" fillId="33" borderId="14" xfId="0" applyFont="1" applyFill="1" applyBorder="1" applyAlignment="1">
      <alignment vertical="center" wrapText="1"/>
    </xf>
    <xf numFmtId="49" fontId="5" fillId="33" borderId="12" xfId="0" quotePrefix="1" applyNumberFormat="1" applyFont="1" applyFill="1" applyBorder="1" applyAlignment="1">
      <alignment horizontal="center" vertical="center" wrapText="1"/>
    </xf>
    <xf numFmtId="0" fontId="5" fillId="33" borderId="41" xfId="0" applyFont="1" applyFill="1" applyBorder="1" applyAlignment="1">
      <alignment horizontal="center" vertical="center" wrapText="1"/>
    </xf>
    <xf numFmtId="0" fontId="5" fillId="33" borderId="25" xfId="0" applyFont="1" applyFill="1" applyBorder="1" applyAlignment="1">
      <alignment vertical="center" wrapText="1"/>
    </xf>
    <xf numFmtId="0" fontId="5" fillId="33" borderId="25" xfId="0" applyFont="1" applyFill="1" applyBorder="1" applyAlignment="1">
      <alignment horizontal="center" vertical="center" wrapText="1"/>
    </xf>
    <xf numFmtId="0" fontId="5" fillId="33" borderId="16" xfId="0" applyFont="1" applyFill="1" applyBorder="1" applyAlignment="1">
      <alignment vertical="center" wrapText="1"/>
    </xf>
    <xf numFmtId="0" fontId="5" fillId="33" borderId="14" xfId="0" applyFont="1" applyFill="1" applyBorder="1" applyAlignment="1">
      <alignment horizontal="center" vertical="center" wrapText="1"/>
    </xf>
    <xf numFmtId="0" fontId="5" fillId="33" borderId="40" xfId="0" applyFont="1" applyFill="1" applyBorder="1" applyAlignment="1">
      <alignment horizontal="center" vertical="center" wrapText="1"/>
    </xf>
    <xf numFmtId="0" fontId="24" fillId="39" borderId="58" xfId="37" applyFont="1" applyFill="1" applyBorder="1" applyAlignment="1">
      <alignment horizontal="center" vertical="center"/>
    </xf>
    <xf numFmtId="0" fontId="24" fillId="39" borderId="0" xfId="37" applyFont="1" applyFill="1" applyAlignment="1">
      <alignment horizontal="center" vertical="center"/>
    </xf>
    <xf numFmtId="0" fontId="34" fillId="43" borderId="57" xfId="0" applyFont="1" applyFill="1" applyBorder="1" applyAlignment="1">
      <alignment horizontal="center" vertical="center" wrapText="1"/>
    </xf>
    <xf numFmtId="49" fontId="34" fillId="43" borderId="57" xfId="0" applyNumberFormat="1" applyFont="1" applyFill="1" applyBorder="1" applyAlignment="1">
      <alignment horizontal="center" vertical="center" wrapText="1"/>
    </xf>
    <xf numFmtId="0" fontId="34" fillId="43" borderId="57" xfId="0" applyFont="1" applyFill="1" applyBorder="1" applyAlignment="1">
      <alignment horizontal="left" vertical="center" wrapText="1" indent="1"/>
    </xf>
    <xf numFmtId="0" fontId="8" fillId="0" borderId="0" xfId="0" applyFont="1"/>
    <xf numFmtId="0" fontId="32" fillId="0" borderId="14" xfId="0" applyFont="1" applyBorder="1" applyAlignment="1">
      <alignment vertical="center" wrapText="1"/>
    </xf>
    <xf numFmtId="0" fontId="32" fillId="0" borderId="25" xfId="0" applyFont="1" applyBorder="1" applyAlignment="1">
      <alignment vertical="center" wrapText="1"/>
    </xf>
    <xf numFmtId="0" fontId="32" fillId="0" borderId="14" xfId="0" quotePrefix="1" applyFont="1" applyBorder="1" applyAlignment="1">
      <alignment horizontal="left" vertical="center" wrapText="1"/>
    </xf>
    <xf numFmtId="0" fontId="5" fillId="0" borderId="25" xfId="0" quotePrefix="1" applyFont="1" applyBorder="1" applyAlignment="1">
      <alignment vertical="center" wrapText="1"/>
    </xf>
    <xf numFmtId="49" fontId="27" fillId="0" borderId="1" xfId="37" applyNumberFormat="1" applyFont="1" applyBorder="1" applyAlignment="1">
      <alignment horizontal="center" vertical="center" wrapText="1"/>
    </xf>
    <xf numFmtId="49" fontId="27" fillId="0" borderId="1" xfId="37" quotePrefix="1" applyNumberFormat="1" applyFont="1" applyBorder="1" applyAlignment="1">
      <alignment horizontal="center" vertical="center" wrapText="1"/>
    </xf>
    <xf numFmtId="0" fontId="5" fillId="0" borderId="12" xfId="0" quotePrefix="1" applyFont="1" applyBorder="1" applyAlignment="1">
      <alignment horizontal="left" vertical="center" wrapText="1"/>
    </xf>
    <xf numFmtId="0" fontId="5" fillId="0" borderId="15" xfId="0" quotePrefix="1" applyFont="1" applyBorder="1" applyAlignment="1">
      <alignment horizontal="left" vertical="center" wrapText="1"/>
    </xf>
    <xf numFmtId="0" fontId="5" fillId="0" borderId="15" xfId="0" applyFont="1" applyBorder="1" applyAlignment="1">
      <alignment horizontal="left" vertical="center" wrapText="1"/>
    </xf>
    <xf numFmtId="0" fontId="5" fillId="0" borderId="15" xfId="0" applyFont="1" applyBorder="1" applyAlignment="1">
      <alignment horizontal="center" vertical="center" wrapText="1"/>
    </xf>
    <xf numFmtId="0" fontId="5" fillId="0" borderId="15" xfId="0" quotePrefix="1" applyFont="1" applyBorder="1" applyAlignment="1">
      <alignment horizontal="center" vertical="center" wrapText="1"/>
    </xf>
    <xf numFmtId="0" fontId="5" fillId="0" borderId="25" xfId="0" applyFont="1" applyBorder="1" applyAlignment="1">
      <alignment horizontal="left" vertical="center" wrapText="1"/>
    </xf>
    <xf numFmtId="0" fontId="5" fillId="0" borderId="15" xfId="0" applyFont="1" applyBorder="1" applyAlignment="1">
      <alignment horizontal="center" vertical="center"/>
    </xf>
    <xf numFmtId="0" fontId="5" fillId="0" borderId="40" xfId="0" applyFont="1" applyBorder="1" applyAlignment="1">
      <alignment horizontal="center" vertical="center"/>
    </xf>
    <xf numFmtId="0" fontId="5" fillId="0" borderId="12" xfId="0" applyFont="1" applyBorder="1" applyAlignment="1">
      <alignment horizontal="center" vertical="center"/>
    </xf>
    <xf numFmtId="0" fontId="5" fillId="0" borderId="22" xfId="0" applyFont="1" applyBorder="1" applyAlignment="1">
      <alignment horizontal="center" vertical="center"/>
    </xf>
    <xf numFmtId="49" fontId="5" fillId="33" borderId="40" xfId="0" applyNumberFormat="1" applyFont="1" applyFill="1" applyBorder="1" applyAlignment="1">
      <alignment horizontal="center" vertical="center"/>
    </xf>
    <xf numFmtId="0" fontId="5" fillId="33" borderId="1" xfId="0" applyFont="1" applyFill="1" applyBorder="1" applyAlignment="1">
      <alignment horizontal="center" vertical="center"/>
    </xf>
    <xf numFmtId="0" fontId="5" fillId="33" borderId="1" xfId="0" applyFont="1" applyFill="1" applyBorder="1" applyAlignment="1">
      <alignment horizontal="center"/>
    </xf>
    <xf numFmtId="0" fontId="24" fillId="0" borderId="0" xfId="0" applyFont="1" applyAlignment="1">
      <alignment horizontal="center"/>
    </xf>
    <xf numFmtId="0" fontId="34" fillId="43" borderId="59" xfId="0" applyFont="1" applyFill="1" applyBorder="1" applyAlignment="1">
      <alignment horizontal="center" vertical="center" wrapText="1"/>
    </xf>
    <xf numFmtId="0" fontId="22" fillId="0" borderId="0" xfId="0" applyFont="1" applyAlignment="1">
      <alignment horizontal="center"/>
    </xf>
    <xf numFmtId="49" fontId="37" fillId="0" borderId="0" xfId="0" applyNumberFormat="1" applyFont="1"/>
    <xf numFmtId="0" fontId="38" fillId="0" borderId="0" xfId="0" applyFont="1" applyAlignment="1">
      <alignment horizontal="left" vertical="center"/>
    </xf>
    <xf numFmtId="0" fontId="37" fillId="0" borderId="0" xfId="0" applyFont="1" applyAlignment="1">
      <alignment horizontal="left" vertical="center"/>
    </xf>
    <xf numFmtId="0" fontId="39" fillId="0" borderId="0" xfId="0" applyFont="1"/>
    <xf numFmtId="0" fontId="0" fillId="0" borderId="0" xfId="0" applyAlignment="1">
      <alignment vertical="center"/>
    </xf>
    <xf numFmtId="49" fontId="5" fillId="0" borderId="42" xfId="0" applyNumberFormat="1" applyFont="1" applyBorder="1" applyAlignment="1">
      <alignment horizontal="center" vertical="center" wrapText="1"/>
    </xf>
    <xf numFmtId="49" fontId="5" fillId="0" borderId="16" xfId="0" applyNumberFormat="1" applyFont="1" applyBorder="1" applyAlignment="1">
      <alignment horizontal="center" vertical="center" wrapText="1"/>
    </xf>
    <xf numFmtId="0" fontId="0" fillId="0" borderId="60"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33" xfId="0" applyBorder="1" applyAlignment="1">
      <alignment horizontal="center"/>
    </xf>
    <xf numFmtId="0" fontId="0" fillId="0" borderId="29" xfId="0" applyBorder="1" applyAlignment="1">
      <alignment horizontal="center"/>
    </xf>
    <xf numFmtId="0" fontId="0" fillId="0" borderId="34" xfId="0" applyBorder="1" applyAlignment="1">
      <alignment horizontal="center"/>
    </xf>
    <xf numFmtId="0" fontId="24" fillId="0" borderId="26" xfId="37" applyFont="1" applyBorder="1" applyAlignment="1">
      <alignment horizontal="center" vertical="center"/>
    </xf>
    <xf numFmtId="0" fontId="26" fillId="42" borderId="15" xfId="39" applyFont="1" applyFill="1" applyBorder="1" applyAlignment="1">
      <alignment horizontal="center" vertical="center"/>
    </xf>
    <xf numFmtId="0" fontId="7" fillId="39" borderId="0" xfId="0" applyFont="1" applyFill="1"/>
    <xf numFmtId="0" fontId="24" fillId="44" borderId="1" xfId="37" applyFont="1" applyFill="1" applyBorder="1" applyAlignment="1">
      <alignment horizontal="center" vertical="center"/>
    </xf>
    <xf numFmtId="0" fontId="7" fillId="44" borderId="0" xfId="0" applyFont="1" applyFill="1"/>
    <xf numFmtId="0" fontId="24" fillId="39" borderId="4" xfId="37" applyFont="1" applyFill="1" applyBorder="1" applyAlignment="1">
      <alignment horizontal="center" vertical="center"/>
    </xf>
    <xf numFmtId="0" fontId="24" fillId="39" borderId="35" xfId="0" applyFont="1" applyFill="1" applyBorder="1" applyAlignment="1">
      <alignment horizontal="left" vertical="center"/>
    </xf>
    <xf numFmtId="0" fontId="24" fillId="40" borderId="1" xfId="37" applyFont="1" applyFill="1" applyBorder="1" applyAlignment="1">
      <alignment horizontal="center" vertical="center"/>
    </xf>
    <xf numFmtId="0" fontId="24" fillId="38" borderId="8" xfId="37" applyFont="1" applyFill="1" applyBorder="1" applyAlignment="1">
      <alignment horizontal="center" vertical="center"/>
    </xf>
    <xf numFmtId="0" fontId="24" fillId="38" borderId="9" xfId="37" applyFont="1" applyFill="1" applyBorder="1" applyAlignment="1">
      <alignment horizontal="center" vertical="center"/>
    </xf>
    <xf numFmtId="0" fontId="24" fillId="38" borderId="29" xfId="37" applyFont="1" applyFill="1" applyBorder="1" applyAlignment="1">
      <alignment horizontal="center" vertical="center"/>
    </xf>
    <xf numFmtId="0" fontId="24" fillId="38" borderId="60" xfId="37" applyFont="1" applyFill="1" applyBorder="1" applyAlignment="1">
      <alignment horizontal="center" vertical="center"/>
    </xf>
    <xf numFmtId="0" fontId="24" fillId="38" borderId="61" xfId="37" applyFont="1" applyFill="1" applyBorder="1" applyAlignment="1">
      <alignment horizontal="left" vertical="center"/>
    </xf>
    <xf numFmtId="0" fontId="24" fillId="36" borderId="8" xfId="37" applyFont="1" applyFill="1" applyBorder="1" applyAlignment="1">
      <alignment horizontal="center" vertical="center"/>
    </xf>
    <xf numFmtId="0" fontId="24" fillId="36" borderId="2" xfId="37" applyFont="1" applyFill="1" applyBorder="1" applyAlignment="1">
      <alignment horizontal="center" vertical="center"/>
    </xf>
    <xf numFmtId="0" fontId="24" fillId="36" borderId="32" xfId="37" applyFont="1" applyFill="1" applyBorder="1" applyAlignment="1">
      <alignment horizontal="left" vertical="center"/>
    </xf>
    <xf numFmtId="0" fontId="24" fillId="36" borderId="9" xfId="37" applyFont="1" applyFill="1" applyBorder="1" applyAlignment="1">
      <alignment horizontal="center" vertical="center"/>
    </xf>
    <xf numFmtId="0" fontId="24" fillId="46" borderId="3" xfId="37" applyFont="1" applyFill="1" applyBorder="1" applyAlignment="1">
      <alignment horizontal="center" vertical="center"/>
    </xf>
    <xf numFmtId="0" fontId="0" fillId="46" borderId="5" xfId="0" applyFill="1" applyBorder="1" applyAlignment="1">
      <alignment horizontal="center" vertical="center"/>
    </xf>
    <xf numFmtId="0" fontId="24" fillId="46" borderId="5" xfId="37" applyFont="1" applyFill="1" applyBorder="1" applyAlignment="1">
      <alignment horizontal="center" vertical="center"/>
    </xf>
    <xf numFmtId="0" fontId="0" fillId="46" borderId="31" xfId="0" applyFill="1" applyBorder="1" applyAlignment="1">
      <alignment horizontal="center" vertical="center"/>
    </xf>
    <xf numFmtId="0" fontId="0" fillId="46" borderId="0" xfId="0" applyFill="1"/>
    <xf numFmtId="0" fontId="24" fillId="41" borderId="8" xfId="37" applyFont="1" applyFill="1" applyBorder="1" applyAlignment="1">
      <alignment horizontal="center" vertical="center"/>
    </xf>
    <xf numFmtId="0" fontId="24" fillId="41" borderId="2" xfId="37" applyFont="1" applyFill="1" applyBorder="1" applyAlignment="1">
      <alignment horizontal="center" vertical="center"/>
    </xf>
    <xf numFmtId="0" fontId="24" fillId="41" borderId="2" xfId="0" applyFont="1" applyFill="1" applyBorder="1" applyAlignment="1">
      <alignment horizontal="center" vertical="center"/>
    </xf>
    <xf numFmtId="0" fontId="24" fillId="41" borderId="32" xfId="0" applyFont="1" applyFill="1" applyBorder="1" applyAlignment="1">
      <alignment horizontal="center" vertical="center"/>
    </xf>
    <xf numFmtId="0" fontId="24" fillId="41" borderId="32" xfId="37" applyFont="1" applyFill="1" applyBorder="1" applyAlignment="1">
      <alignment horizontal="left" vertical="center"/>
    </xf>
    <xf numFmtId="0" fontId="24" fillId="41" borderId="29" xfId="37" applyFont="1" applyFill="1" applyBorder="1" applyAlignment="1">
      <alignment horizontal="center" vertical="center"/>
    </xf>
    <xf numFmtId="0" fontId="24" fillId="41" borderId="30" xfId="37" applyFont="1" applyFill="1" applyBorder="1" applyAlignment="1">
      <alignment horizontal="center" vertical="center"/>
    </xf>
    <xf numFmtId="0" fontId="24" fillId="41" borderId="30" xfId="0" applyFont="1" applyFill="1" applyBorder="1" applyAlignment="1">
      <alignment horizontal="center" vertical="center"/>
    </xf>
    <xf numFmtId="0" fontId="24" fillId="41" borderId="34" xfId="0" applyFont="1" applyFill="1" applyBorder="1" applyAlignment="1">
      <alignment horizontal="center" vertical="center"/>
    </xf>
    <xf numFmtId="0" fontId="24" fillId="41" borderId="34" xfId="37" applyFont="1" applyFill="1" applyBorder="1" applyAlignment="1">
      <alignment horizontal="left" vertical="center"/>
    </xf>
    <xf numFmtId="0" fontId="0" fillId="35" borderId="3" xfId="0" applyFill="1" applyBorder="1"/>
    <xf numFmtId="1" fontId="24" fillId="35" borderId="5" xfId="37" applyNumberFormat="1" applyFont="1" applyFill="1" applyBorder="1" applyAlignment="1">
      <alignment horizontal="center" vertical="center"/>
    </xf>
    <xf numFmtId="0" fontId="24" fillId="35" borderId="5" xfId="37" applyFont="1" applyFill="1" applyBorder="1" applyAlignment="1">
      <alignment horizontal="center" vertical="center"/>
    </xf>
    <xf numFmtId="0" fontId="24" fillId="35" borderId="5" xfId="0" applyFont="1" applyFill="1" applyBorder="1" applyAlignment="1">
      <alignment horizontal="center" vertical="center"/>
    </xf>
    <xf numFmtId="0" fontId="24" fillId="35" borderId="31" xfId="0" applyFont="1" applyFill="1" applyBorder="1" applyAlignment="1">
      <alignment horizontal="center" vertical="center"/>
    </xf>
    <xf numFmtId="0" fontId="24" fillId="35" borderId="31" xfId="37" applyFont="1" applyFill="1" applyBorder="1" applyAlignment="1">
      <alignment horizontal="center" wrapText="1"/>
    </xf>
    <xf numFmtId="15" fontId="27" fillId="0" borderId="1" xfId="37" applyNumberFormat="1" applyFont="1" applyBorder="1" applyAlignment="1">
      <alignment horizontal="center" vertical="center" wrapText="1"/>
    </xf>
    <xf numFmtId="0" fontId="0" fillId="35" borderId="3" xfId="0" applyFill="1" applyBorder="1" applyAlignment="1">
      <alignment horizontal="center" vertical="center"/>
    </xf>
    <xf numFmtId="0" fontId="0" fillId="47" borderId="3" xfId="0" applyFill="1" applyBorder="1" applyAlignment="1">
      <alignment horizontal="center" vertical="center"/>
    </xf>
    <xf numFmtId="0" fontId="24" fillId="47" borderId="5" xfId="37" applyFont="1" applyFill="1" applyBorder="1" applyAlignment="1">
      <alignment horizontal="center"/>
    </xf>
    <xf numFmtId="1" fontId="24" fillId="47" borderId="5" xfId="37" applyNumberFormat="1" applyFont="1" applyFill="1" applyBorder="1" applyAlignment="1">
      <alignment horizontal="center" vertical="center"/>
    </xf>
    <xf numFmtId="0" fontId="24" fillId="47" borderId="5" xfId="37" applyFont="1" applyFill="1" applyBorder="1" applyAlignment="1">
      <alignment horizontal="center" vertical="center"/>
    </xf>
    <xf numFmtId="0" fontId="24" fillId="47" borderId="5" xfId="0" applyFont="1" applyFill="1" applyBorder="1" applyAlignment="1">
      <alignment horizontal="center" vertical="center"/>
    </xf>
    <xf numFmtId="0" fontId="24" fillId="47" borderId="31" xfId="0" applyFont="1" applyFill="1" applyBorder="1" applyAlignment="1">
      <alignment horizontal="center" vertical="center"/>
    </xf>
    <xf numFmtId="0" fontId="24" fillId="47" borderId="31" xfId="37" applyFont="1" applyFill="1" applyBorder="1" applyAlignment="1">
      <alignment horizontal="center" wrapText="1"/>
    </xf>
    <xf numFmtId="0" fontId="24" fillId="39" borderId="8" xfId="37" applyFont="1" applyFill="1" applyBorder="1" applyAlignment="1">
      <alignment horizontal="center" vertical="center"/>
    </xf>
    <xf numFmtId="0" fontId="24" fillId="39" borderId="9" xfId="37" applyFont="1" applyFill="1" applyBorder="1" applyAlignment="1">
      <alignment horizontal="center" vertical="center"/>
    </xf>
    <xf numFmtId="0" fontId="24" fillId="39" borderId="9" xfId="0" applyFont="1" applyFill="1" applyBorder="1" applyAlignment="1">
      <alignment horizontal="center" vertical="center"/>
    </xf>
    <xf numFmtId="0" fontId="24" fillId="39" borderId="63" xfId="37" applyFont="1" applyFill="1" applyBorder="1" applyAlignment="1">
      <alignment horizontal="center" vertical="center"/>
    </xf>
    <xf numFmtId="0" fontId="0" fillId="34" borderId="23" xfId="0" applyFill="1" applyBorder="1" applyAlignment="1">
      <alignment horizontal="center" vertical="center"/>
    </xf>
    <xf numFmtId="0" fontId="8" fillId="48" borderId="6" xfId="0" applyFont="1" applyFill="1" applyBorder="1" applyAlignment="1">
      <alignment horizontal="center" vertical="center"/>
    </xf>
    <xf numFmtId="0" fontId="8" fillId="48" borderId="7" xfId="37" applyFont="1" applyFill="1" applyBorder="1" applyAlignment="1">
      <alignment horizontal="center" vertical="center" wrapText="1"/>
    </xf>
    <xf numFmtId="0" fontId="8" fillId="48" borderId="13" xfId="37" applyFont="1" applyFill="1" applyBorder="1" applyAlignment="1">
      <alignment horizontal="center" vertical="center" wrapText="1"/>
    </xf>
    <xf numFmtId="0" fontId="8" fillId="48" borderId="3" xfId="37" applyFont="1" applyFill="1" applyBorder="1" applyAlignment="1">
      <alignment horizontal="center" vertical="center" wrapText="1"/>
    </xf>
    <xf numFmtId="0" fontId="8" fillId="48" borderId="5" xfId="37" applyFont="1" applyFill="1" applyBorder="1" applyAlignment="1">
      <alignment horizontal="center" vertical="center" wrapText="1"/>
    </xf>
    <xf numFmtId="0" fontId="8" fillId="48" borderId="31" xfId="37" applyFont="1" applyFill="1" applyBorder="1" applyAlignment="1">
      <alignment horizontal="center" vertical="center" wrapText="1"/>
    </xf>
    <xf numFmtId="0" fontId="8" fillId="48" borderId="62" xfId="37" applyFont="1" applyFill="1" applyBorder="1" applyAlignment="1">
      <alignment horizontal="center" vertical="center" wrapText="1"/>
    </xf>
    <xf numFmtId="0" fontId="8" fillId="48" borderId="37" xfId="37" applyFont="1" applyFill="1" applyBorder="1" applyAlignment="1">
      <alignment horizontal="center" vertical="center" wrapText="1"/>
    </xf>
    <xf numFmtId="0" fontId="24" fillId="0" borderId="24" xfId="37" applyFont="1" applyBorder="1" applyAlignment="1">
      <alignment horizontal="center"/>
    </xf>
    <xf numFmtId="1" fontId="24" fillId="0" borderId="24" xfId="37" applyNumberFormat="1" applyFont="1" applyBorder="1" applyAlignment="1">
      <alignment horizontal="center" vertical="center"/>
    </xf>
    <xf numFmtId="0" fontId="24" fillId="0" borderId="24" xfId="37" applyFont="1" applyBorder="1" applyAlignment="1">
      <alignment horizontal="center" vertical="center"/>
    </xf>
    <xf numFmtId="0" fontId="24" fillId="0" borderId="24" xfId="0" applyFont="1" applyBorder="1" applyAlignment="1">
      <alignment horizontal="center" vertical="center"/>
    </xf>
    <xf numFmtId="0" fontId="24" fillId="0" borderId="25" xfId="37" applyFont="1" applyBorder="1" applyAlignment="1">
      <alignment horizontal="center" wrapText="1"/>
    </xf>
    <xf numFmtId="0" fontId="8" fillId="45" borderId="3" xfId="0" applyFont="1" applyFill="1" applyBorder="1"/>
    <xf numFmtId="0" fontId="8" fillId="45" borderId="5" xfId="37" applyFont="1" applyFill="1" applyBorder="1" applyAlignment="1">
      <alignment horizontal="center"/>
    </xf>
    <xf numFmtId="0" fontId="8" fillId="45" borderId="5" xfId="37" applyFont="1" applyFill="1" applyBorder="1" applyAlignment="1">
      <alignment horizontal="center" vertical="center"/>
    </xf>
    <xf numFmtId="0" fontId="8" fillId="45" borderId="5" xfId="0" applyFont="1" applyFill="1" applyBorder="1" applyAlignment="1">
      <alignment horizontal="center" vertical="center"/>
    </xf>
    <xf numFmtId="0" fontId="11" fillId="45" borderId="31" xfId="0" applyFont="1" applyFill="1" applyBorder="1" applyAlignment="1">
      <alignment horizontal="center" vertical="center"/>
    </xf>
    <xf numFmtId="0" fontId="8" fillId="45" borderId="31" xfId="37" applyFont="1" applyFill="1" applyBorder="1" applyAlignment="1">
      <alignment horizontal="center" vertical="center"/>
    </xf>
    <xf numFmtId="0" fontId="24" fillId="49" borderId="9" xfId="37" applyFont="1" applyFill="1" applyBorder="1" applyAlignment="1">
      <alignment horizontal="center" vertical="center"/>
    </xf>
    <xf numFmtId="0" fontId="24" fillId="49" borderId="1" xfId="37" applyFont="1" applyFill="1" applyBorder="1" applyAlignment="1">
      <alignment horizontal="center" vertical="center"/>
    </xf>
    <xf numFmtId="0" fontId="24" fillId="49" borderId="33" xfId="37" applyFont="1" applyFill="1" applyBorder="1" applyAlignment="1">
      <alignment horizontal="left" vertical="center"/>
    </xf>
    <xf numFmtId="0" fontId="0" fillId="49" borderId="64" xfId="0" applyFill="1" applyBorder="1" applyAlignment="1">
      <alignment horizontal="center"/>
    </xf>
    <xf numFmtId="0" fontId="0" fillId="36" borderId="65" xfId="0" applyFill="1" applyBorder="1" applyAlignment="1">
      <alignment horizontal="center" vertical="center"/>
    </xf>
    <xf numFmtId="0" fontId="24" fillId="49" borderId="29" xfId="37" applyFont="1" applyFill="1" applyBorder="1" applyAlignment="1">
      <alignment horizontal="center" vertical="center"/>
    </xf>
    <xf numFmtId="0" fontId="24" fillId="49" borderId="30" xfId="37" applyFont="1" applyFill="1" applyBorder="1" applyAlignment="1">
      <alignment horizontal="center" vertical="center"/>
    </xf>
    <xf numFmtId="0" fontId="24" fillId="49" borderId="34" xfId="37" applyFont="1" applyFill="1" applyBorder="1" applyAlignment="1">
      <alignment horizontal="left" vertical="center"/>
    </xf>
    <xf numFmtId="14" fontId="24" fillId="0" borderId="1" xfId="37" applyNumberFormat="1" applyFont="1" applyBorder="1" applyAlignment="1">
      <alignment horizontal="center" vertical="center"/>
    </xf>
    <xf numFmtId="0" fontId="24" fillId="0" borderId="1" xfId="37" applyFont="1" applyBorder="1" applyAlignment="1">
      <alignment horizontal="left" vertical="center" wrapText="1"/>
    </xf>
    <xf numFmtId="0" fontId="24" fillId="49" borderId="33" xfId="37" applyFont="1" applyFill="1" applyBorder="1" applyAlignment="1">
      <alignment horizontal="left" vertical="center" wrapText="1"/>
    </xf>
    <xf numFmtId="0" fontId="24" fillId="36" borderId="33" xfId="37" applyFont="1" applyFill="1" applyBorder="1" applyAlignment="1">
      <alignment horizontal="left" vertical="center" wrapText="1"/>
    </xf>
    <xf numFmtId="166" fontId="24" fillId="0" borderId="1" xfId="37" applyNumberFormat="1" applyFont="1" applyBorder="1" applyAlignment="1">
      <alignment horizontal="center" vertical="center"/>
    </xf>
    <xf numFmtId="0" fontId="24" fillId="0" borderId="1" xfId="37" quotePrefix="1" applyFont="1" applyBorder="1" applyAlignment="1">
      <alignment horizontal="center" vertical="center"/>
    </xf>
    <xf numFmtId="0" fontId="5" fillId="0" borderId="40" xfId="0" quotePrefix="1" applyFont="1" applyBorder="1" applyAlignment="1">
      <alignment horizontal="center" vertical="center" wrapText="1"/>
    </xf>
    <xf numFmtId="0" fontId="24" fillId="40" borderId="1" xfId="37" applyFont="1" applyFill="1" applyBorder="1" applyAlignment="1">
      <alignment horizontal="left" vertical="center"/>
    </xf>
    <xf numFmtId="0" fontId="26" fillId="0" borderId="0" xfId="37" applyFont="1" applyAlignment="1">
      <alignment horizontal="left"/>
    </xf>
    <xf numFmtId="0" fontId="33" fillId="37" borderId="0" xfId="37" applyFont="1" applyFill="1" applyAlignment="1">
      <alignment horizontal="center"/>
    </xf>
    <xf numFmtId="0" fontId="29" fillId="0" borderId="0" xfId="37" applyFont="1" applyAlignment="1">
      <alignment horizontal="left"/>
    </xf>
    <xf numFmtId="0" fontId="26" fillId="0" borderId="0" xfId="37" applyFont="1"/>
    <xf numFmtId="0" fontId="26" fillId="48" borderId="23" xfId="37" applyFont="1" applyFill="1" applyBorder="1" applyAlignment="1">
      <alignment horizontal="center" vertical="center"/>
    </xf>
    <xf numFmtId="0" fontId="26" fillId="48" borderId="24" xfId="37" applyFont="1" applyFill="1" applyBorder="1" applyAlignment="1">
      <alignment horizontal="center" vertical="center"/>
    </xf>
    <xf numFmtId="0" fontId="26" fillId="48" borderId="25" xfId="37" applyFont="1" applyFill="1" applyBorder="1" applyAlignment="1">
      <alignment horizontal="center" vertical="center"/>
    </xf>
    <xf numFmtId="0" fontId="0" fillId="34" borderId="23" xfId="0" applyFill="1" applyBorder="1" applyAlignment="1">
      <alignment horizontal="center"/>
    </xf>
    <xf numFmtId="0" fontId="0" fillId="34" borderId="24" xfId="0" applyFill="1" applyBorder="1" applyAlignment="1">
      <alignment horizontal="center"/>
    </xf>
    <xf numFmtId="0" fontId="0" fillId="34" borderId="25" xfId="0" applyFill="1" applyBorder="1" applyAlignment="1">
      <alignment horizontal="center"/>
    </xf>
    <xf numFmtId="0" fontId="24" fillId="34" borderId="23" xfId="37" applyFont="1" applyFill="1" applyBorder="1" applyAlignment="1">
      <alignment horizontal="center" vertical="center"/>
    </xf>
    <xf numFmtId="0" fontId="24" fillId="34" borderId="24" xfId="37" applyFont="1" applyFill="1" applyBorder="1" applyAlignment="1">
      <alignment horizontal="center" vertical="center"/>
    </xf>
    <xf numFmtId="0" fontId="24" fillId="34" borderId="25" xfId="37" applyFont="1" applyFill="1" applyBorder="1" applyAlignment="1">
      <alignment horizontal="center" vertical="center"/>
    </xf>
    <xf numFmtId="0" fontId="0" fillId="39" borderId="0" xfId="0" applyFill="1" applyAlignment="1">
      <alignment horizontal="center" vertical="center" wrapText="1"/>
    </xf>
    <xf numFmtId="0" fontId="0" fillId="39" borderId="0" xfId="0" applyFill="1" applyAlignment="1">
      <alignment horizontal="center" vertical="center"/>
    </xf>
    <xf numFmtId="0" fontId="0" fillId="34" borderId="21" xfId="0" applyFill="1" applyBorder="1" applyAlignment="1">
      <alignment horizontal="center"/>
    </xf>
    <xf numFmtId="0" fontId="0" fillId="34" borderId="22" xfId="0" applyFill="1" applyBorder="1" applyAlignment="1">
      <alignment horizontal="center"/>
    </xf>
    <xf numFmtId="0" fontId="0" fillId="34" borderId="14" xfId="0" applyFill="1" applyBorder="1" applyAlignment="1">
      <alignment horizontal="center"/>
    </xf>
    <xf numFmtId="0" fontId="24" fillId="40" borderId="0" xfId="0" applyFont="1" applyFill="1" applyAlignment="1">
      <alignment horizontal="center" vertical="center" wrapText="1"/>
    </xf>
    <xf numFmtId="0" fontId="24" fillId="40" borderId="0" xfId="0" applyFont="1" applyFill="1" applyAlignment="1">
      <alignment horizontal="center" vertical="center"/>
    </xf>
    <xf numFmtId="0" fontId="0" fillId="34" borderId="1" xfId="0" applyFill="1" applyBorder="1" applyAlignment="1">
      <alignment horizontal="center"/>
    </xf>
    <xf numFmtId="0" fontId="30" fillId="38" borderId="0" xfId="0" applyFont="1" applyFill="1" applyAlignment="1">
      <alignment horizontal="center" vertical="center" wrapText="1"/>
    </xf>
    <xf numFmtId="0" fontId="24" fillId="34" borderId="21" xfId="37" applyFont="1" applyFill="1" applyBorder="1" applyAlignment="1">
      <alignment horizontal="center" vertical="center"/>
    </xf>
    <xf numFmtId="0" fontId="24" fillId="34" borderId="22" xfId="37" applyFont="1" applyFill="1" applyBorder="1" applyAlignment="1">
      <alignment horizontal="center" vertical="center"/>
    </xf>
    <xf numFmtId="0" fontId="24" fillId="34" borderId="14" xfId="37" applyFont="1" applyFill="1" applyBorder="1" applyAlignment="1">
      <alignment horizontal="center" vertical="center"/>
    </xf>
    <xf numFmtId="0" fontId="24" fillId="34" borderId="17" xfId="37" applyFont="1" applyFill="1" applyBorder="1" applyAlignment="1">
      <alignment horizontal="center" vertical="center"/>
    </xf>
    <xf numFmtId="0" fontId="24" fillId="34" borderId="18" xfId="37" applyFont="1" applyFill="1" applyBorder="1" applyAlignment="1">
      <alignment horizontal="center" vertical="center"/>
    </xf>
    <xf numFmtId="0" fontId="24" fillId="34" borderId="16" xfId="37" applyFont="1" applyFill="1" applyBorder="1" applyAlignment="1">
      <alignment horizontal="center" vertical="center"/>
    </xf>
    <xf numFmtId="0" fontId="0" fillId="49" borderId="64" xfId="0" applyFill="1" applyBorder="1" applyAlignment="1">
      <alignment horizontal="center" vertical="center"/>
    </xf>
    <xf numFmtId="0" fontId="0" fillId="36" borderId="65" xfId="0" applyFill="1" applyBorder="1" applyAlignment="1">
      <alignment horizontal="center" vertical="center"/>
    </xf>
    <xf numFmtId="0" fontId="0" fillId="36" borderId="19" xfId="0" applyFill="1" applyBorder="1" applyAlignment="1">
      <alignment horizontal="center" vertical="center"/>
    </xf>
    <xf numFmtId="0" fontId="0" fillId="36" borderId="66" xfId="0" applyFill="1" applyBorder="1" applyAlignment="1">
      <alignment horizontal="center" vertical="center"/>
    </xf>
    <xf numFmtId="0" fontId="22" fillId="0" borderId="23" xfId="0" applyFont="1" applyBorder="1" applyAlignment="1">
      <alignment horizontal="left" vertical="center"/>
    </xf>
    <xf numFmtId="0" fontId="22" fillId="0" borderId="24" xfId="0" applyFont="1" applyBorder="1" applyAlignment="1">
      <alignment horizontal="left" vertical="center"/>
    </xf>
    <xf numFmtId="0" fontId="22" fillId="0" borderId="25" xfId="0" applyFont="1" applyBorder="1" applyAlignment="1">
      <alignment horizontal="left" vertical="center"/>
    </xf>
    <xf numFmtId="165" fontId="22" fillId="0" borderId="23" xfId="0" applyNumberFormat="1" applyFont="1" applyBorder="1" applyAlignment="1">
      <alignment horizontal="left" vertical="center"/>
    </xf>
    <xf numFmtId="165" fontId="22" fillId="0" borderId="24" xfId="0" applyNumberFormat="1" applyFont="1" applyBorder="1" applyAlignment="1">
      <alignment horizontal="left" vertical="center"/>
    </xf>
    <xf numFmtId="165" fontId="22" fillId="0" borderId="25" xfId="0" applyNumberFormat="1" applyFont="1" applyBorder="1" applyAlignment="1">
      <alignment horizontal="left" vertical="center"/>
    </xf>
    <xf numFmtId="0" fontId="0" fillId="45" borderId="23" xfId="0" applyFill="1" applyBorder="1" applyAlignment="1">
      <alignment horizontal="center"/>
    </xf>
    <xf numFmtId="0" fontId="0" fillId="45" borderId="24" xfId="0" applyFill="1" applyBorder="1" applyAlignment="1">
      <alignment horizontal="center"/>
    </xf>
    <xf numFmtId="0" fontId="0" fillId="45" borderId="25" xfId="0" applyFill="1" applyBorder="1" applyAlignment="1">
      <alignment horizontal="center"/>
    </xf>
    <xf numFmtId="0" fontId="5" fillId="0" borderId="15"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15" xfId="0" applyFont="1" applyBorder="1" applyAlignment="1">
      <alignment horizontal="left" vertical="center" wrapText="1"/>
    </xf>
    <xf numFmtId="0" fontId="5" fillId="0" borderId="40" xfId="0" applyFont="1" applyBorder="1" applyAlignment="1">
      <alignment horizontal="left" vertical="center" wrapText="1"/>
    </xf>
    <xf numFmtId="49" fontId="5" fillId="0" borderId="15" xfId="0" applyNumberFormat="1" applyFont="1" applyBorder="1" applyAlignment="1">
      <alignment horizontal="center" vertical="center" wrapText="1"/>
    </xf>
    <xf numFmtId="49" fontId="5" fillId="0" borderId="42" xfId="0" applyNumberFormat="1" applyFont="1" applyBorder="1" applyAlignment="1">
      <alignment horizontal="center" vertical="center" wrapText="1"/>
    </xf>
    <xf numFmtId="49" fontId="5" fillId="0" borderId="40" xfId="0" applyNumberFormat="1" applyFont="1" applyBorder="1" applyAlignment="1">
      <alignment horizontal="center" vertical="center" wrapText="1"/>
    </xf>
    <xf numFmtId="49" fontId="5" fillId="0" borderId="15" xfId="0" quotePrefix="1" applyNumberFormat="1" applyFont="1" applyBorder="1" applyAlignment="1">
      <alignment horizontal="center" vertical="center" wrapText="1"/>
    </xf>
    <xf numFmtId="49" fontId="5" fillId="0" borderId="40" xfId="0" quotePrefix="1" applyNumberFormat="1" applyFont="1" applyBorder="1" applyAlignment="1">
      <alignment horizontal="center" vertical="center" wrapText="1"/>
    </xf>
    <xf numFmtId="49" fontId="5" fillId="0" borderId="42" xfId="0" quotePrefix="1" applyNumberFormat="1" applyFont="1" applyBorder="1" applyAlignment="1">
      <alignment horizontal="center" vertical="center" wrapText="1"/>
    </xf>
    <xf numFmtId="0" fontId="5" fillId="0" borderId="42" xfId="0" applyFont="1" applyBorder="1" applyAlignment="1">
      <alignment horizontal="center" vertical="center" wrapText="1"/>
    </xf>
    <xf numFmtId="0" fontId="5" fillId="0" borderId="42" xfId="0" applyFont="1" applyBorder="1" applyAlignment="1">
      <alignment horizontal="left" vertical="center" wrapText="1"/>
    </xf>
    <xf numFmtId="0" fontId="5" fillId="0" borderId="43" xfId="0" applyFont="1" applyBorder="1" applyAlignment="1">
      <alignment horizontal="center" vertical="center" wrapText="1"/>
    </xf>
    <xf numFmtId="0" fontId="5" fillId="0" borderId="44" xfId="0" applyFont="1" applyBorder="1" applyAlignment="1">
      <alignment horizontal="center" vertical="center" wrapText="1"/>
    </xf>
    <xf numFmtId="0" fontId="5" fillId="0" borderId="46" xfId="0" applyFont="1" applyBorder="1" applyAlignment="1">
      <alignment horizontal="center"/>
    </xf>
    <xf numFmtId="0" fontId="27" fillId="0" borderId="44" xfId="0" applyFont="1" applyBorder="1" applyAlignment="1">
      <alignment horizontal="center"/>
    </xf>
    <xf numFmtId="0" fontId="5" fillId="0" borderId="12" xfId="0" applyFont="1" applyBorder="1" applyAlignment="1">
      <alignment horizontal="center" vertical="center"/>
    </xf>
    <xf numFmtId="0" fontId="5" fillId="0" borderId="39" xfId="0" applyFont="1" applyBorder="1" applyAlignment="1">
      <alignment horizontal="center" vertical="center"/>
    </xf>
    <xf numFmtId="0" fontId="5" fillId="0" borderId="38" xfId="0" applyFont="1" applyBorder="1" applyAlignment="1">
      <alignment horizontal="center" vertical="center"/>
    </xf>
    <xf numFmtId="0" fontId="5" fillId="0" borderId="47" xfId="0" applyFont="1" applyBorder="1" applyAlignment="1">
      <alignment horizontal="center" vertical="center"/>
    </xf>
    <xf numFmtId="0" fontId="5" fillId="0" borderId="45" xfId="0" applyFont="1" applyBorder="1" applyAlignment="1">
      <alignment horizontal="center" vertical="center"/>
    </xf>
    <xf numFmtId="0" fontId="5" fillId="0" borderId="15" xfId="0" applyFont="1" applyBorder="1" applyAlignment="1">
      <alignment horizontal="center" vertical="center"/>
    </xf>
    <xf numFmtId="0" fontId="5" fillId="0" borderId="42" xfId="0" applyFont="1" applyBorder="1" applyAlignment="1">
      <alignment horizontal="center" vertical="center"/>
    </xf>
    <xf numFmtId="0" fontId="5" fillId="0" borderId="40" xfId="0" applyFont="1" applyBorder="1" applyAlignment="1">
      <alignment horizontal="center" vertical="center"/>
    </xf>
    <xf numFmtId="0" fontId="5" fillId="0" borderId="19" xfId="0" applyFont="1" applyBorder="1" applyAlignment="1">
      <alignment horizontal="center" vertical="center" wrapText="1"/>
    </xf>
    <xf numFmtId="0" fontId="5" fillId="33" borderId="42" xfId="0" applyFont="1" applyFill="1" applyBorder="1" applyAlignment="1">
      <alignment horizontal="center" vertical="center" wrapText="1"/>
    </xf>
    <xf numFmtId="0" fontId="5" fillId="0" borderId="17"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45" xfId="0" applyFont="1" applyBorder="1" applyAlignment="1">
      <alignment horizontal="center" vertical="center" wrapText="1"/>
    </xf>
    <xf numFmtId="0" fontId="5" fillId="0" borderId="15" xfId="0" quotePrefix="1" applyFont="1" applyBorder="1" applyAlignment="1">
      <alignment horizontal="center" vertical="center" wrapText="1"/>
    </xf>
    <xf numFmtId="0" fontId="5" fillId="0" borderId="40" xfId="0" quotePrefix="1" applyFont="1" applyBorder="1" applyAlignment="1">
      <alignment horizontal="center" vertical="center" wrapText="1"/>
    </xf>
    <xf numFmtId="0" fontId="5" fillId="0" borderId="42" xfId="0" quotePrefix="1" applyFont="1" applyBorder="1" applyAlignment="1">
      <alignment horizontal="center" vertical="center" wrapText="1"/>
    </xf>
    <xf numFmtId="0" fontId="0" fillId="42" borderId="3" xfId="0" applyFill="1" applyBorder="1" applyAlignment="1">
      <alignment horizontal="center" vertical="center"/>
    </xf>
    <xf numFmtId="0" fontId="0" fillId="42" borderId="31" xfId="0" applyFill="1" applyBorder="1" applyAlignment="1">
      <alignment horizontal="center" vertical="center"/>
    </xf>
    <xf numFmtId="0" fontId="30" fillId="0" borderId="19" xfId="0" applyFont="1" applyBorder="1" applyAlignment="1">
      <alignment horizontal="left" vertical="center"/>
    </xf>
    <xf numFmtId="0" fontId="30" fillId="0" borderId="0" xfId="0" applyFont="1" applyAlignment="1">
      <alignment horizontal="left" vertical="center"/>
    </xf>
    <xf numFmtId="0" fontId="0" fillId="0" borderId="15" xfId="0" quotePrefix="1" applyBorder="1" applyAlignment="1">
      <alignment horizontal="center" vertical="center"/>
    </xf>
    <xf numFmtId="0" fontId="0" fillId="0" borderId="40" xfId="0" quotePrefix="1" applyBorder="1" applyAlignment="1">
      <alignment horizontal="center" vertical="center"/>
    </xf>
    <xf numFmtId="0" fontId="0" fillId="0" borderId="15" xfId="0" applyBorder="1" applyAlignment="1">
      <alignment horizontal="center" vertical="center"/>
    </xf>
    <xf numFmtId="0" fontId="0" fillId="0" borderId="40"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42" fillId="0" borderId="25" xfId="0" applyFont="1" applyBorder="1" applyAlignment="1">
      <alignment horizontal="center" vertical="center" wrapText="1"/>
    </xf>
    <xf numFmtId="0" fontId="42" fillId="0" borderId="14" xfId="0" quotePrefix="1" applyFont="1" applyBorder="1" applyAlignment="1">
      <alignment horizontal="left" vertical="center" wrapText="1"/>
    </xf>
    <xf numFmtId="0" fontId="42" fillId="0" borderId="25" xfId="0" applyFont="1" applyBorder="1" applyAlignment="1">
      <alignment vertical="center" wrapText="1"/>
    </xf>
    <xf numFmtId="0" fontId="42" fillId="0" borderId="14" xfId="0" applyFont="1" applyBorder="1" applyAlignment="1">
      <alignment horizontal="center" vertical="center" wrapText="1"/>
    </xf>
    <xf numFmtId="0" fontId="42" fillId="0" borderId="14" xfId="0" applyFont="1" applyBorder="1" applyAlignment="1">
      <alignment vertical="center" wrapText="1"/>
    </xf>
    <xf numFmtId="49" fontId="5" fillId="0" borderId="12" xfId="0" applyNumberFormat="1" applyFont="1" applyBorder="1" applyAlignment="1">
      <alignment horizontal="center" vertic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00000000-0005-0000-0000-000025000000}"/>
    <cellStyle name="Normal 2 2" xfId="38" xr:uid="{00000000-0005-0000-0000-000026000000}"/>
    <cellStyle name="Normal 2 2 2" xfId="39" xr:uid="{00000000-0005-0000-0000-000027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25400</xdr:colOff>
          <xdr:row>5</xdr:row>
          <xdr:rowOff>0</xdr:rowOff>
        </xdr:from>
        <xdr:to>
          <xdr:col>6</xdr:col>
          <xdr:colOff>9525</xdr:colOff>
          <xdr:row>7</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333333"/>
                  </a:solidFill>
                  <a:latin typeface="Calibri"/>
                  <a:ea typeface="Calibri"/>
                  <a:cs typeface="Calibri"/>
                </a:rPr>
                <a:t>Generate .bin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108858</xdr:colOff>
      <xdr:row>15</xdr:row>
      <xdr:rowOff>163286</xdr:rowOff>
    </xdr:from>
    <xdr:to>
      <xdr:col>5</xdr:col>
      <xdr:colOff>1764979</xdr:colOff>
      <xdr:row>62</xdr:row>
      <xdr:rowOff>95948</xdr:rowOff>
    </xdr:to>
    <xdr:pic>
      <xdr:nvPicPr>
        <xdr:cNvPr id="2" name="Picture 1">
          <a:extLst>
            <a:ext uri="{FF2B5EF4-FFF2-40B4-BE49-F238E27FC236}">
              <a16:creationId xmlns:a16="http://schemas.microsoft.com/office/drawing/2014/main" id="{1A02D864-F6CD-434C-AC05-F4A453BF0AF5}"/>
            </a:ext>
          </a:extLst>
        </xdr:cNvPr>
        <xdr:cNvPicPr>
          <a:picLocks noChangeAspect="1"/>
        </xdr:cNvPicPr>
      </xdr:nvPicPr>
      <xdr:blipFill>
        <a:blip xmlns:r="http://schemas.openxmlformats.org/officeDocument/2006/relationships" r:embed="rId1"/>
        <a:stretch>
          <a:fillRect/>
        </a:stretch>
      </xdr:blipFill>
      <xdr:spPr>
        <a:xfrm>
          <a:off x="105683" y="2998561"/>
          <a:ext cx="13937021" cy="8441662"/>
        </a:xfrm>
        <a:prstGeom prst="rect">
          <a:avLst/>
        </a:prstGeom>
      </xdr:spPr>
    </xdr:pic>
    <xdr:clientData/>
  </xdr:twoCellAnchor>
  <xdr:twoCellAnchor>
    <xdr:from>
      <xdr:col>1</xdr:col>
      <xdr:colOff>367392</xdr:colOff>
      <xdr:row>29</xdr:row>
      <xdr:rowOff>27214</xdr:rowOff>
    </xdr:from>
    <xdr:to>
      <xdr:col>4</xdr:col>
      <xdr:colOff>1673679</xdr:colOff>
      <xdr:row>32</xdr:row>
      <xdr:rowOff>163286</xdr:rowOff>
    </xdr:to>
    <xdr:sp macro="" textlink="">
      <xdr:nvSpPr>
        <xdr:cNvPr id="3" name="Rectangle: Rounded Corners 2">
          <a:extLst>
            <a:ext uri="{FF2B5EF4-FFF2-40B4-BE49-F238E27FC236}">
              <a16:creationId xmlns:a16="http://schemas.microsoft.com/office/drawing/2014/main" id="{4095CEA7-592B-4572-9A34-17BB511AAADA}"/>
            </a:ext>
          </a:extLst>
        </xdr:cNvPr>
        <xdr:cNvSpPr/>
      </xdr:nvSpPr>
      <xdr:spPr>
        <a:xfrm>
          <a:off x="2618467" y="5402489"/>
          <a:ext cx="6618062" cy="672647"/>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452210</xdr:colOff>
      <xdr:row>23</xdr:row>
      <xdr:rowOff>98425</xdr:rowOff>
    </xdr:from>
    <xdr:to>
      <xdr:col>4</xdr:col>
      <xdr:colOff>1748972</xdr:colOff>
      <xdr:row>27</xdr:row>
      <xdr:rowOff>51255</xdr:rowOff>
    </xdr:to>
    <xdr:sp macro="" textlink="">
      <xdr:nvSpPr>
        <xdr:cNvPr id="4" name="Rectangle: Rounded Corners 3">
          <a:extLst>
            <a:ext uri="{FF2B5EF4-FFF2-40B4-BE49-F238E27FC236}">
              <a16:creationId xmlns:a16="http://schemas.microsoft.com/office/drawing/2014/main" id="{0402220D-FDE5-4237-AABB-09C5E58A353B}"/>
            </a:ext>
          </a:extLst>
        </xdr:cNvPr>
        <xdr:cNvSpPr/>
      </xdr:nvSpPr>
      <xdr:spPr>
        <a:xfrm>
          <a:off x="2696935" y="4387850"/>
          <a:ext cx="6611712" cy="670380"/>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pageSetUpPr fitToPage="1"/>
  </sheetPr>
  <dimension ref="A1:G52"/>
  <sheetViews>
    <sheetView topLeftCell="A32" zoomScale="90" zoomScaleNormal="90" workbookViewId="0">
      <selection activeCell="G43" sqref="G43"/>
    </sheetView>
  </sheetViews>
  <sheetFormatPr defaultColWidth="9.08984375" defaultRowHeight="14.5"/>
  <cols>
    <col min="1" max="1" width="16.7265625" style="1" customWidth="1"/>
    <col min="2" max="2" width="12.453125" style="1" customWidth="1"/>
    <col min="3" max="3" width="15.7265625" style="2" customWidth="1"/>
    <col min="4" max="4" width="12.7265625" style="2" customWidth="1"/>
    <col min="5" max="5" width="15.26953125" style="2" customWidth="1"/>
    <col min="6" max="6" width="19.7265625" style="2" customWidth="1"/>
    <col min="7" max="7" width="112.90625" style="2" customWidth="1"/>
    <col min="8" max="8" width="6.90625" style="2" customWidth="1"/>
    <col min="9" max="9" width="20.26953125" style="2" customWidth="1"/>
    <col min="10" max="10" width="19.453125" style="2" customWidth="1"/>
    <col min="11" max="11" width="21" style="2" customWidth="1"/>
    <col min="12" max="12" width="17.453125" style="2" customWidth="1"/>
    <col min="13" max="13" width="20.08984375" style="2" customWidth="1"/>
    <col min="14" max="14" width="8.08984375" style="2" customWidth="1"/>
    <col min="15" max="15" width="6.453125" style="2" customWidth="1"/>
    <col min="16" max="16" width="14.453125" style="2" customWidth="1"/>
    <col min="17" max="171" width="4.7265625" style="2" customWidth="1"/>
    <col min="172" max="16384" width="9.08984375" style="2"/>
  </cols>
  <sheetData>
    <row r="1" spans="1:7" ht="20.149999999999999" customHeight="1">
      <c r="A1" s="274" t="s">
        <v>699</v>
      </c>
      <c r="B1" s="274"/>
      <c r="C1" s="274"/>
      <c r="D1" s="274"/>
      <c r="E1" s="274"/>
      <c r="F1" s="274"/>
      <c r="G1" s="274"/>
    </row>
    <row r="5" spans="1:7" ht="18.5">
      <c r="A5" s="275" t="s">
        <v>0</v>
      </c>
      <c r="B5" s="275"/>
      <c r="C5" s="12" t="s">
        <v>1</v>
      </c>
      <c r="F5" s="1"/>
      <c r="G5" s="3"/>
    </row>
    <row r="6" spans="1:7" ht="18.5">
      <c r="A6" s="275" t="s">
        <v>2</v>
      </c>
      <c r="B6" s="275"/>
      <c r="C6" s="12" t="s">
        <v>700</v>
      </c>
      <c r="D6" s="11"/>
      <c r="E6" s="4"/>
      <c r="F6" s="5"/>
      <c r="G6" s="6"/>
    </row>
    <row r="7" spans="1:7" ht="18.5">
      <c r="A7" s="12" t="s">
        <v>3</v>
      </c>
      <c r="B7" s="12"/>
      <c r="C7" s="12">
        <f>C38</f>
        <v>0.27</v>
      </c>
      <c r="D7" s="11"/>
      <c r="E7" s="4"/>
      <c r="F7" s="5"/>
      <c r="G7" s="6"/>
    </row>
    <row r="8" spans="1:7" ht="18.5">
      <c r="A8" s="12" t="s">
        <v>4</v>
      </c>
      <c r="B8" s="12"/>
      <c r="C8" s="13">
        <f>D38</f>
        <v>45643</v>
      </c>
      <c r="D8" s="11"/>
      <c r="E8" s="4"/>
      <c r="F8" s="5"/>
      <c r="G8" s="6"/>
    </row>
    <row r="9" spans="1:7">
      <c r="A9" s="276" t="s">
        <v>5</v>
      </c>
      <c r="B9" s="276"/>
      <c r="C9" s="3" t="s">
        <v>6</v>
      </c>
      <c r="F9" s="5"/>
      <c r="G9" s="6"/>
    </row>
    <row r="10" spans="1:7">
      <c r="A10" s="11" t="s">
        <v>7</v>
      </c>
      <c r="B10" s="2"/>
      <c r="C10" s="3" t="s">
        <v>701</v>
      </c>
      <c r="F10" s="5"/>
      <c r="G10" s="6"/>
    </row>
    <row r="11" spans="1:7">
      <c r="A11" s="273" t="s">
        <v>8</v>
      </c>
      <c r="B11" s="273"/>
      <c r="C11" s="7" t="s">
        <v>9</v>
      </c>
      <c r="D11" s="7" t="s">
        <v>10</v>
      </c>
      <c r="E11" s="7" t="s">
        <v>11</v>
      </c>
      <c r="F11" s="7" t="s">
        <v>12</v>
      </c>
      <c r="G11" s="8" t="s">
        <v>13</v>
      </c>
    </row>
    <row r="12" spans="1:7">
      <c r="A12" s="10"/>
      <c r="B12" s="10"/>
      <c r="C12" s="155">
        <v>0.1</v>
      </c>
      <c r="D12" s="9" t="s">
        <v>14</v>
      </c>
      <c r="E12" s="7" t="s">
        <v>15</v>
      </c>
      <c r="F12" s="7"/>
      <c r="G12" s="8" t="s">
        <v>16</v>
      </c>
    </row>
    <row r="13" spans="1:7">
      <c r="A13" s="10"/>
      <c r="B13" s="10"/>
      <c r="C13" s="155">
        <v>0.2</v>
      </c>
      <c r="D13" s="9" t="s">
        <v>17</v>
      </c>
      <c r="E13" s="7" t="s">
        <v>15</v>
      </c>
      <c r="F13" s="7"/>
      <c r="G13" s="8" t="s">
        <v>16</v>
      </c>
    </row>
    <row r="14" spans="1:7" ht="52">
      <c r="A14" s="10"/>
      <c r="B14" s="10"/>
      <c r="C14" s="155">
        <v>0.3</v>
      </c>
      <c r="D14" s="9">
        <v>45262</v>
      </c>
      <c r="E14" s="7" t="s">
        <v>15</v>
      </c>
      <c r="F14" s="7"/>
      <c r="G14" s="8" t="s">
        <v>18</v>
      </c>
    </row>
    <row r="15" spans="1:7">
      <c r="A15" s="10"/>
      <c r="B15" s="10"/>
      <c r="C15" s="155">
        <v>0.4</v>
      </c>
      <c r="D15" s="9">
        <v>45264</v>
      </c>
      <c r="E15" s="7" t="s">
        <v>15</v>
      </c>
      <c r="F15" s="7"/>
      <c r="G15" s="8"/>
    </row>
    <row r="16" spans="1:7">
      <c r="A16" s="10"/>
      <c r="B16" s="10"/>
      <c r="C16" s="155">
        <v>0.5</v>
      </c>
      <c r="D16" s="9">
        <v>45343</v>
      </c>
      <c r="E16" s="7" t="s">
        <v>15</v>
      </c>
      <c r="F16" s="7"/>
      <c r="G16" s="8" t="s">
        <v>19</v>
      </c>
    </row>
    <row r="17" spans="1:7" ht="39">
      <c r="A17" s="10"/>
      <c r="B17" s="10"/>
      <c r="C17" s="155">
        <v>0.6</v>
      </c>
      <c r="D17" s="9">
        <v>45345</v>
      </c>
      <c r="E17" s="7" t="s">
        <v>15</v>
      </c>
      <c r="F17" s="7"/>
      <c r="G17" s="8" t="s">
        <v>20</v>
      </c>
    </row>
    <row r="18" spans="1:7">
      <c r="A18" s="10"/>
      <c r="B18" s="10"/>
      <c r="C18" s="155">
        <v>0.7</v>
      </c>
      <c r="D18" s="9">
        <v>45366</v>
      </c>
      <c r="E18" s="7" t="s">
        <v>15</v>
      </c>
      <c r="F18" s="7"/>
      <c r="G18" s="8" t="s">
        <v>21</v>
      </c>
    </row>
    <row r="19" spans="1:7" ht="39">
      <c r="A19" s="10"/>
      <c r="B19" s="10"/>
      <c r="C19" s="155">
        <v>0.8</v>
      </c>
      <c r="D19" s="9">
        <v>45381</v>
      </c>
      <c r="E19" s="7" t="s">
        <v>15</v>
      </c>
      <c r="F19" s="7"/>
      <c r="G19" s="8" t="s">
        <v>22</v>
      </c>
    </row>
    <row r="20" spans="1:7" ht="70.25" customHeight="1">
      <c r="A20" s="10"/>
      <c r="B20" s="10"/>
      <c r="C20" s="155">
        <v>0.9</v>
      </c>
      <c r="D20" s="9">
        <v>45383</v>
      </c>
      <c r="E20" s="7" t="s">
        <v>15</v>
      </c>
      <c r="F20" s="7"/>
      <c r="G20" s="8" t="s">
        <v>23</v>
      </c>
    </row>
    <row r="21" spans="1:7" ht="78">
      <c r="A21" s="10"/>
      <c r="B21" s="10"/>
      <c r="C21" s="156" t="s">
        <v>24</v>
      </c>
      <c r="D21" s="9">
        <v>45385</v>
      </c>
      <c r="E21" s="7" t="s">
        <v>15</v>
      </c>
      <c r="F21" s="7"/>
      <c r="G21" s="8" t="s">
        <v>25</v>
      </c>
    </row>
    <row r="22" spans="1:7" ht="48" customHeight="1">
      <c r="A22" s="10"/>
      <c r="B22" s="10"/>
      <c r="C22" s="156" t="s">
        <v>26</v>
      </c>
      <c r="D22" s="9">
        <v>45392</v>
      </c>
      <c r="E22" s="7" t="s">
        <v>15</v>
      </c>
      <c r="F22" s="7"/>
      <c r="G22" s="8" t="s">
        <v>27</v>
      </c>
    </row>
    <row r="23" spans="1:7" ht="48" customHeight="1">
      <c r="A23" s="10"/>
      <c r="B23" s="10"/>
      <c r="C23" s="156">
        <v>0.12</v>
      </c>
      <c r="D23" s="9">
        <v>45392</v>
      </c>
      <c r="E23" s="7" t="s">
        <v>15</v>
      </c>
      <c r="F23" s="7"/>
      <c r="G23" s="8" t="s">
        <v>28</v>
      </c>
    </row>
    <row r="24" spans="1:7" ht="48" customHeight="1">
      <c r="A24" s="10"/>
      <c r="B24" s="10"/>
      <c r="C24" s="156">
        <v>0.13</v>
      </c>
      <c r="D24" s="9">
        <v>45393</v>
      </c>
      <c r="E24" s="7" t="s">
        <v>15</v>
      </c>
      <c r="F24" s="7"/>
      <c r="G24" s="8" t="s">
        <v>29</v>
      </c>
    </row>
    <row r="25" spans="1:7" ht="48" customHeight="1">
      <c r="A25" s="10"/>
      <c r="B25" s="10"/>
      <c r="C25" s="156">
        <v>0.14000000000000001</v>
      </c>
      <c r="D25" s="9">
        <v>45399</v>
      </c>
      <c r="E25" s="7" t="s">
        <v>15</v>
      </c>
      <c r="F25" s="7"/>
      <c r="G25" s="8" t="s">
        <v>30</v>
      </c>
    </row>
    <row r="26" spans="1:7" ht="48" customHeight="1">
      <c r="A26" s="10"/>
      <c r="B26" s="10"/>
      <c r="C26" s="156">
        <v>0.15</v>
      </c>
      <c r="D26" s="9">
        <v>45405</v>
      </c>
      <c r="E26" s="7" t="s">
        <v>357</v>
      </c>
      <c r="F26" s="7"/>
      <c r="G26" s="8" t="s">
        <v>358</v>
      </c>
    </row>
    <row r="27" spans="1:7" ht="65">
      <c r="A27" s="10"/>
      <c r="B27" s="10"/>
      <c r="C27" s="156">
        <v>0.16</v>
      </c>
      <c r="D27" s="9">
        <v>45407</v>
      </c>
      <c r="E27" s="7" t="s">
        <v>15</v>
      </c>
      <c r="F27" s="7"/>
      <c r="G27" s="8" t="s">
        <v>360</v>
      </c>
    </row>
    <row r="28" spans="1:7" ht="48" customHeight="1">
      <c r="A28" s="10"/>
      <c r="B28" s="10"/>
      <c r="C28" s="156">
        <v>0.17</v>
      </c>
      <c r="D28" s="9">
        <v>45422</v>
      </c>
      <c r="E28" s="7" t="s">
        <v>15</v>
      </c>
      <c r="F28" s="7"/>
      <c r="G28" s="8" t="s">
        <v>367</v>
      </c>
    </row>
    <row r="29" spans="1:7" ht="48" customHeight="1">
      <c r="A29" s="10"/>
      <c r="B29" s="10"/>
      <c r="C29" s="156">
        <v>0.18</v>
      </c>
      <c r="D29" s="9">
        <v>45560</v>
      </c>
      <c r="E29" s="7" t="s">
        <v>377</v>
      </c>
      <c r="F29" s="7"/>
      <c r="G29" s="8" t="s">
        <v>378</v>
      </c>
    </row>
    <row r="30" spans="1:7" ht="26">
      <c r="A30" s="10"/>
      <c r="B30" s="10"/>
      <c r="C30" s="155">
        <v>0.19</v>
      </c>
      <c r="D30" s="9">
        <v>45579</v>
      </c>
      <c r="E30" s="7" t="s">
        <v>382</v>
      </c>
      <c r="F30" s="7"/>
      <c r="G30" s="8" t="s">
        <v>383</v>
      </c>
    </row>
    <row r="31" spans="1:7">
      <c r="A31" s="10"/>
      <c r="B31" s="10"/>
      <c r="C31" s="155" t="s">
        <v>386</v>
      </c>
      <c r="D31" s="9">
        <v>45600</v>
      </c>
      <c r="E31" s="7" t="s">
        <v>382</v>
      </c>
      <c r="F31" s="7"/>
      <c r="G31" s="8" t="s">
        <v>385</v>
      </c>
    </row>
    <row r="32" spans="1:7" ht="78">
      <c r="A32" s="10"/>
      <c r="B32" s="10"/>
      <c r="C32" s="155" t="s">
        <v>413</v>
      </c>
      <c r="D32" s="224">
        <v>45623</v>
      </c>
      <c r="E32" s="7" t="s">
        <v>382</v>
      </c>
      <c r="F32" s="7"/>
      <c r="G32" s="8" t="s">
        <v>577</v>
      </c>
    </row>
    <row r="33" spans="1:7" ht="65">
      <c r="A33" s="10"/>
      <c r="B33" s="10"/>
      <c r="C33" s="7">
        <v>0.22</v>
      </c>
      <c r="D33" s="9">
        <v>45629</v>
      </c>
      <c r="E33" s="7" t="s">
        <v>647</v>
      </c>
      <c r="F33" s="7"/>
      <c r="G33" s="8" t="s">
        <v>648</v>
      </c>
    </row>
    <row r="34" spans="1:7" ht="216" customHeight="1">
      <c r="C34" s="70">
        <v>0.23</v>
      </c>
      <c r="D34" s="71">
        <v>45631</v>
      </c>
      <c r="E34" s="70" t="s">
        <v>647</v>
      </c>
      <c r="F34" s="73"/>
      <c r="G34" s="72" t="s">
        <v>711</v>
      </c>
    </row>
    <row r="35" spans="1:7" ht="29">
      <c r="C35" s="15">
        <v>0.24</v>
      </c>
      <c r="D35" s="265">
        <v>45455</v>
      </c>
      <c r="E35" s="15" t="s">
        <v>647</v>
      </c>
      <c r="F35" s="15"/>
      <c r="G35" s="266" t="s">
        <v>721</v>
      </c>
    </row>
    <row r="36" spans="1:7" ht="43.5">
      <c r="C36" s="15">
        <v>0.25</v>
      </c>
      <c r="D36" s="269">
        <v>45635</v>
      </c>
      <c r="E36" s="15" t="s">
        <v>726</v>
      </c>
      <c r="F36" s="64"/>
      <c r="G36" s="79" t="s">
        <v>728</v>
      </c>
    </row>
    <row r="37" spans="1:7" ht="43.5">
      <c r="C37" s="270">
        <v>0.26</v>
      </c>
      <c r="D37" s="265">
        <v>45635</v>
      </c>
      <c r="E37" s="15" t="s">
        <v>647</v>
      </c>
      <c r="F37" s="15"/>
      <c r="G37" s="79" t="s">
        <v>734</v>
      </c>
    </row>
    <row r="38" spans="1:7" ht="29">
      <c r="C38" s="270">
        <v>0.27</v>
      </c>
      <c r="D38" s="265">
        <v>45643</v>
      </c>
      <c r="E38" s="15" t="s">
        <v>736</v>
      </c>
      <c r="F38" s="64"/>
      <c r="G38" s="79" t="s">
        <v>739</v>
      </c>
    </row>
    <row r="39" spans="1:7">
      <c r="C39" s="78" t="s">
        <v>742</v>
      </c>
      <c r="D39" s="77">
        <v>45667</v>
      </c>
      <c r="E39" s="64" t="s">
        <v>647</v>
      </c>
      <c r="F39" s="64"/>
      <c r="G39" s="79" t="s">
        <v>743</v>
      </c>
    </row>
    <row r="40" spans="1:7" ht="29">
      <c r="C40" s="78">
        <v>0.28000000000000003</v>
      </c>
      <c r="D40" s="77">
        <v>45674</v>
      </c>
      <c r="E40" s="64" t="s">
        <v>647</v>
      </c>
      <c r="F40" s="64"/>
      <c r="G40" s="79" t="s">
        <v>744</v>
      </c>
    </row>
    <row r="41" spans="1:7" ht="32.25" customHeight="1">
      <c r="C41" s="64"/>
      <c r="D41" s="83"/>
      <c r="E41" s="64"/>
      <c r="F41" s="64"/>
      <c r="G41" s="84"/>
    </row>
    <row r="42" spans="1:7">
      <c r="C42" s="64"/>
      <c r="D42" s="83"/>
      <c r="E42" s="64"/>
      <c r="F42" s="64"/>
      <c r="G42" s="84"/>
    </row>
    <row r="43" spans="1:7">
      <c r="C43" s="64"/>
      <c r="D43" s="83"/>
      <c r="E43" s="64"/>
      <c r="F43" s="64"/>
      <c r="G43" s="84"/>
    </row>
    <row r="44" spans="1:7">
      <c r="C44" s="64"/>
      <c r="D44" s="83"/>
      <c r="E44" s="64"/>
      <c r="F44" s="64"/>
      <c r="G44" s="84"/>
    </row>
    <row r="45" spans="1:7">
      <c r="C45" s="64"/>
      <c r="D45" s="83"/>
      <c r="E45" s="64"/>
      <c r="F45" s="64"/>
      <c r="G45" s="84"/>
    </row>
    <row r="46" spans="1:7">
      <c r="C46" s="78"/>
      <c r="D46" s="83"/>
      <c r="E46" s="64"/>
      <c r="F46" s="64"/>
      <c r="G46" s="84"/>
    </row>
    <row r="47" spans="1:7">
      <c r="C47" s="78"/>
      <c r="D47" s="83"/>
      <c r="E47" s="64"/>
      <c r="F47" s="64"/>
      <c r="G47" s="84"/>
    </row>
    <row r="48" spans="1:7">
      <c r="C48" s="78"/>
      <c r="D48" s="83"/>
      <c r="E48" s="64"/>
      <c r="F48" s="64"/>
      <c r="G48" s="84"/>
    </row>
    <row r="49" spans="3:7">
      <c r="C49" s="78"/>
      <c r="D49" s="83"/>
      <c r="E49" s="64"/>
      <c r="F49" s="64"/>
      <c r="G49" s="84"/>
    </row>
    <row r="50" spans="3:7">
      <c r="C50" s="78"/>
      <c r="D50" s="83"/>
      <c r="E50" s="64"/>
      <c r="F50" s="64"/>
      <c r="G50" s="84"/>
    </row>
    <row r="51" spans="3:7">
      <c r="C51" s="78"/>
      <c r="D51" s="83"/>
      <c r="E51" s="64"/>
      <c r="F51" s="64"/>
      <c r="G51" s="84"/>
    </row>
    <row r="52" spans="3:7">
      <c r="C52" s="78"/>
      <c r="D52" s="83"/>
      <c r="E52" s="64"/>
      <c r="F52" s="64"/>
      <c r="G52" s="84"/>
    </row>
  </sheetData>
  <mergeCells count="5">
    <mergeCell ref="A11:B11"/>
    <mergeCell ref="A1:G1"/>
    <mergeCell ref="A5:B5"/>
    <mergeCell ref="A6:B6"/>
    <mergeCell ref="A9:B9"/>
  </mergeCells>
  <phoneticPr fontId="36" type="noConversion"/>
  <pageMargins left="0.7" right="0.7" top="0.75" bottom="0.75" header="0.3" footer="0.3"/>
  <pageSetup scale="4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13CE5-939F-4988-A9F5-A6A793E20457}">
  <sheetPr>
    <pageSetUpPr fitToPage="1"/>
  </sheetPr>
  <dimension ref="A1:T57"/>
  <sheetViews>
    <sheetView topLeftCell="A9" zoomScale="85" zoomScaleNormal="85" workbookViewId="0">
      <selection activeCell="N27" sqref="N27"/>
    </sheetView>
  </sheetViews>
  <sheetFormatPr defaultRowHeight="14.5"/>
  <cols>
    <col min="1" max="1" width="10.453125" customWidth="1"/>
    <col min="2" max="4" width="30.453125" customWidth="1"/>
    <col min="5" max="5" width="20.453125" customWidth="1"/>
    <col min="6" max="6" width="10.453125" customWidth="1"/>
    <col min="7" max="10" width="10.453125" hidden="1" customWidth="1"/>
    <col min="11" max="13" width="10.453125" customWidth="1"/>
    <col min="14" max="14" width="70.453125" customWidth="1"/>
    <col min="15" max="15" width="50.453125" customWidth="1"/>
  </cols>
  <sheetData>
    <row r="1" spans="1:15">
      <c r="B1" s="80" t="str">
        <f>CONCATENATE(" Revision :  ",Revision!$C$7,"")</f>
        <v xml:space="preserve"> Revision :  0.27</v>
      </c>
      <c r="C1" s="81" t="str">
        <f>CONCATENATE("Date :")</f>
        <v>Date :</v>
      </c>
      <c r="D1" s="82">
        <f>Revision!$C$8</f>
        <v>45643</v>
      </c>
    </row>
    <row r="2" spans="1:15" ht="15" thickBot="1"/>
    <row r="3" spans="1:15" ht="15" thickBot="1">
      <c r="A3" s="27">
        <v>1</v>
      </c>
      <c r="B3" s="29" t="s">
        <v>31</v>
      </c>
      <c r="C3" s="305" t="s">
        <v>32</v>
      </c>
      <c r="D3" s="306"/>
      <c r="E3" s="307"/>
    </row>
    <row r="4" spans="1:15" ht="15" thickBot="1">
      <c r="A4" s="28">
        <v>2</v>
      </c>
      <c r="B4" s="26" t="s">
        <v>33</v>
      </c>
      <c r="C4" s="308">
        <v>32</v>
      </c>
      <c r="D4" s="309"/>
      <c r="E4" s="310"/>
    </row>
    <row r="5" spans="1:15" ht="15" thickBot="1">
      <c r="A5" s="28">
        <v>3</v>
      </c>
      <c r="B5" s="26" t="s">
        <v>34</v>
      </c>
      <c r="C5" s="308" t="s">
        <v>35</v>
      </c>
      <c r="D5" s="309"/>
      <c r="E5" s="310"/>
    </row>
    <row r="6" spans="1:15" ht="15" thickBot="1">
      <c r="A6" s="28">
        <v>4</v>
      </c>
      <c r="B6" s="26" t="s">
        <v>36</v>
      </c>
      <c r="C6" s="86" t="s">
        <v>37</v>
      </c>
      <c r="D6" s="86" t="s">
        <v>38</v>
      </c>
      <c r="E6" s="87"/>
      <c r="N6" t="s">
        <v>39</v>
      </c>
    </row>
    <row r="7" spans="1:15" ht="15" thickBot="1">
      <c r="A7" s="28">
        <v>5</v>
      </c>
      <c r="B7" s="26" t="s">
        <v>40</v>
      </c>
      <c r="C7" s="107">
        <v>1</v>
      </c>
      <c r="D7" s="56" t="s">
        <v>41</v>
      </c>
      <c r="E7" s="57"/>
    </row>
    <row r="8" spans="1:15" ht="15" thickBot="1">
      <c r="A8" s="28">
        <v>6</v>
      </c>
      <c r="B8" s="26" t="s">
        <v>42</v>
      </c>
      <c r="C8" s="108">
        <f>C9-C7</f>
        <v>31</v>
      </c>
      <c r="D8" s="56" t="s">
        <v>41</v>
      </c>
      <c r="E8" s="57"/>
    </row>
    <row r="9" spans="1:15" ht="15" thickBot="1">
      <c r="A9" s="28">
        <v>7</v>
      </c>
      <c r="B9" s="26" t="s">
        <v>43</v>
      </c>
      <c r="C9" s="108">
        <v>32</v>
      </c>
      <c r="D9" s="56" t="s">
        <v>41</v>
      </c>
      <c r="E9" s="57"/>
    </row>
    <row r="10" spans="1:15" ht="15" thickBot="1">
      <c r="G10" s="311" t="s">
        <v>687</v>
      </c>
      <c r="H10" s="312"/>
      <c r="I10" s="312"/>
      <c r="J10" s="313"/>
    </row>
    <row r="11" spans="1:15" ht="50.15" customHeight="1" thickBot="1">
      <c r="A11" s="238" t="s">
        <v>44</v>
      </c>
      <c r="B11" s="239" t="s">
        <v>45</v>
      </c>
      <c r="C11" s="239" t="s">
        <v>44</v>
      </c>
      <c r="D11" s="239" t="s">
        <v>46</v>
      </c>
      <c r="E11" s="239" t="s">
        <v>47</v>
      </c>
      <c r="F11" s="240" t="s">
        <v>48</v>
      </c>
      <c r="G11" s="241" t="s">
        <v>49</v>
      </c>
      <c r="H11" s="242" t="s">
        <v>50</v>
      </c>
      <c r="I11" s="242" t="s">
        <v>51</v>
      </c>
      <c r="J11" s="243" t="s">
        <v>52</v>
      </c>
      <c r="K11" s="244" t="s">
        <v>53</v>
      </c>
      <c r="L11" s="239" t="s">
        <v>54</v>
      </c>
      <c r="M11" s="239" t="s">
        <v>55</v>
      </c>
      <c r="N11" s="245" t="s">
        <v>56</v>
      </c>
    </row>
    <row r="12" spans="1:15" ht="15" customHeight="1" thickBot="1">
      <c r="A12" s="280" t="s">
        <v>705</v>
      </c>
      <c r="B12" s="281"/>
      <c r="C12" s="281"/>
      <c r="D12" s="281"/>
      <c r="E12" s="281"/>
      <c r="F12" s="281"/>
      <c r="G12" s="281"/>
      <c r="H12" s="281"/>
      <c r="I12" s="281"/>
      <c r="J12" s="281"/>
      <c r="K12" s="281"/>
      <c r="L12" s="281"/>
      <c r="M12" s="281"/>
      <c r="N12" s="282"/>
    </row>
    <row r="13" spans="1:15" ht="15" customHeight="1">
      <c r="A13" s="233">
        <v>1</v>
      </c>
      <c r="B13" s="89" t="s">
        <v>57</v>
      </c>
      <c r="C13" s="89" t="s">
        <v>58</v>
      </c>
      <c r="D13" s="89" t="s">
        <v>59</v>
      </c>
      <c r="E13" s="89" t="s">
        <v>60</v>
      </c>
      <c r="F13" s="89">
        <v>6</v>
      </c>
      <c r="G13" s="89" t="s">
        <v>61</v>
      </c>
      <c r="H13" s="89" t="str">
        <f t="shared" ref="H13:H25" si="0">IF(G13="ECC","Yes","No")</f>
        <v>No</v>
      </c>
      <c r="I13" s="89" t="s">
        <v>62</v>
      </c>
      <c r="J13" s="89" t="s">
        <v>62</v>
      </c>
      <c r="K13" s="89">
        <f t="shared" ref="K13:K27" si="1">F13</f>
        <v>6</v>
      </c>
      <c r="L13" s="89">
        <f>IF(C6="LAST",(C9-1)*1024,0)</f>
        <v>31744</v>
      </c>
      <c r="M13" s="89" t="str">
        <f>DEC2HEX(L13,4)</f>
        <v>7C00</v>
      </c>
      <c r="N13" s="92" t="s">
        <v>63</v>
      </c>
      <c r="O13" s="286" t="s">
        <v>716</v>
      </c>
    </row>
    <row r="14" spans="1:15" ht="15" customHeight="1">
      <c r="A14" s="234">
        <v>2</v>
      </c>
      <c r="B14" s="90" t="s">
        <v>57</v>
      </c>
      <c r="C14" s="90" t="s">
        <v>64</v>
      </c>
      <c r="D14" s="90" t="s">
        <v>65</v>
      </c>
      <c r="E14" s="90" t="s">
        <v>60</v>
      </c>
      <c r="F14" s="90">
        <v>1</v>
      </c>
      <c r="G14" s="90" t="s">
        <v>61</v>
      </c>
      <c r="H14" s="90" t="str">
        <f t="shared" si="0"/>
        <v>No</v>
      </c>
      <c r="I14" s="90" t="s">
        <v>62</v>
      </c>
      <c r="J14" s="90" t="s">
        <v>62</v>
      </c>
      <c r="K14" s="90">
        <f t="shared" si="1"/>
        <v>1</v>
      </c>
      <c r="L14" s="90">
        <f>K13+L13</f>
        <v>31750</v>
      </c>
      <c r="M14" s="90" t="str">
        <f>DEC2HEX(L14,4)</f>
        <v>7C06</v>
      </c>
      <c r="N14" s="93" t="s">
        <v>66</v>
      </c>
      <c r="O14" s="287"/>
    </row>
    <row r="15" spans="1:15" ht="15" customHeight="1">
      <c r="A15" s="234">
        <v>3</v>
      </c>
      <c r="B15" s="90" t="s">
        <v>57</v>
      </c>
      <c r="C15" s="90" t="s">
        <v>67</v>
      </c>
      <c r="D15" s="90" t="s">
        <v>65</v>
      </c>
      <c r="E15" s="90" t="s">
        <v>60</v>
      </c>
      <c r="F15" s="90">
        <v>1</v>
      </c>
      <c r="G15" s="90" t="s">
        <v>61</v>
      </c>
      <c r="H15" s="90" t="str">
        <f t="shared" si="0"/>
        <v>No</v>
      </c>
      <c r="I15" s="90" t="s">
        <v>62</v>
      </c>
      <c r="J15" s="90" t="s">
        <v>62</v>
      </c>
      <c r="K15" s="90">
        <f t="shared" si="1"/>
        <v>1</v>
      </c>
      <c r="L15" s="90">
        <f>K14+L14</f>
        <v>31751</v>
      </c>
      <c r="M15" s="90" t="str">
        <f>DEC2HEX(L15,4)</f>
        <v>7C07</v>
      </c>
      <c r="N15" s="93" t="s">
        <v>68</v>
      </c>
      <c r="O15" s="287"/>
    </row>
    <row r="16" spans="1:15" ht="15" customHeight="1">
      <c r="A16" s="234">
        <v>4</v>
      </c>
      <c r="B16" s="90" t="s">
        <v>57</v>
      </c>
      <c r="C16" s="90" t="s">
        <v>69</v>
      </c>
      <c r="D16" s="90" t="s">
        <v>65</v>
      </c>
      <c r="E16" s="90" t="s">
        <v>60</v>
      </c>
      <c r="F16" s="90">
        <v>1</v>
      </c>
      <c r="G16" s="90" t="s">
        <v>61</v>
      </c>
      <c r="H16" s="90" t="str">
        <f t="shared" si="0"/>
        <v>No</v>
      </c>
      <c r="I16" s="90" t="s">
        <v>62</v>
      </c>
      <c r="J16" s="90" t="s">
        <v>62</v>
      </c>
      <c r="K16" s="90">
        <f t="shared" si="1"/>
        <v>1</v>
      </c>
      <c r="L16" s="90">
        <f t="shared" ref="L16:L23" si="2">K15+L15</f>
        <v>31752</v>
      </c>
      <c r="M16" s="90" t="str">
        <f t="shared" ref="M16:M23" si="3">DEC2HEX(L16,4)</f>
        <v>7C08</v>
      </c>
      <c r="N16" s="93" t="s">
        <v>70</v>
      </c>
      <c r="O16" s="287"/>
    </row>
    <row r="17" spans="1:20" ht="15" customHeight="1">
      <c r="A17" s="235">
        <v>5</v>
      </c>
      <c r="B17" s="91" t="s">
        <v>57</v>
      </c>
      <c r="C17" s="91" t="s">
        <v>654</v>
      </c>
      <c r="D17" s="91" t="s">
        <v>65</v>
      </c>
      <c r="E17" s="91" t="s">
        <v>60</v>
      </c>
      <c r="F17" s="91">
        <v>1</v>
      </c>
      <c r="G17" s="91" t="s">
        <v>61</v>
      </c>
      <c r="H17" s="91" t="str">
        <f t="shared" si="0"/>
        <v>No</v>
      </c>
      <c r="I17" s="91" t="s">
        <v>62</v>
      </c>
      <c r="J17" s="91" t="s">
        <v>62</v>
      </c>
      <c r="K17" s="91">
        <f t="shared" si="1"/>
        <v>1</v>
      </c>
      <c r="L17" s="91">
        <f t="shared" si="2"/>
        <v>31753</v>
      </c>
      <c r="M17" s="91" t="str">
        <f t="shared" si="3"/>
        <v>7C09</v>
      </c>
      <c r="N17" s="93" t="s">
        <v>688</v>
      </c>
      <c r="O17" s="287"/>
    </row>
    <row r="18" spans="1:20" ht="15" customHeight="1" thickBot="1">
      <c r="A18" s="236">
        <v>6</v>
      </c>
      <c r="B18" s="191" t="s">
        <v>57</v>
      </c>
      <c r="C18" s="191" t="s">
        <v>71</v>
      </c>
      <c r="D18" s="191" t="s">
        <v>72</v>
      </c>
      <c r="E18" s="191" t="s">
        <v>60</v>
      </c>
      <c r="F18" s="191">
        <v>2</v>
      </c>
      <c r="G18" s="191" t="s">
        <v>61</v>
      </c>
      <c r="H18" s="191" t="str">
        <f t="shared" si="0"/>
        <v>No</v>
      </c>
      <c r="I18" s="191" t="s">
        <v>62</v>
      </c>
      <c r="J18" s="191" t="s">
        <v>62</v>
      </c>
      <c r="K18" s="191">
        <f t="shared" si="1"/>
        <v>2</v>
      </c>
      <c r="L18" s="191">
        <f t="shared" si="2"/>
        <v>31754</v>
      </c>
      <c r="M18" s="191" t="str">
        <f t="shared" si="3"/>
        <v>7C0A</v>
      </c>
      <c r="N18" s="192" t="s">
        <v>689</v>
      </c>
      <c r="O18" s="287"/>
    </row>
    <row r="19" spans="1:20" ht="15" customHeight="1">
      <c r="A19" s="298" t="s">
        <v>733</v>
      </c>
      <c r="B19" s="299"/>
      <c r="C19" s="299"/>
      <c r="D19" s="299"/>
      <c r="E19" s="299"/>
      <c r="F19" s="299"/>
      <c r="G19" s="299"/>
      <c r="H19" s="299"/>
      <c r="I19" s="299"/>
      <c r="J19" s="299"/>
      <c r="K19" s="299"/>
      <c r="L19" s="299"/>
      <c r="M19" s="299"/>
      <c r="N19" s="300"/>
      <c r="O19" s="43"/>
    </row>
    <row r="20" spans="1:20" ht="15" customHeight="1">
      <c r="A20" s="193">
        <v>7</v>
      </c>
      <c r="B20" s="193" t="s">
        <v>690</v>
      </c>
      <c r="C20" s="193" t="s">
        <v>740</v>
      </c>
      <c r="D20" s="193" t="s">
        <v>84</v>
      </c>
      <c r="E20" s="193" t="s">
        <v>75</v>
      </c>
      <c r="F20" s="193">
        <v>1</v>
      </c>
      <c r="G20" s="193" t="s">
        <v>61</v>
      </c>
      <c r="H20" s="193" t="str">
        <f t="shared" si="0"/>
        <v>No</v>
      </c>
      <c r="I20" s="193" t="s">
        <v>62</v>
      </c>
      <c r="J20" s="193" t="s">
        <v>62</v>
      </c>
      <c r="K20" s="193">
        <f t="shared" si="1"/>
        <v>1</v>
      </c>
      <c r="L20" s="193">
        <f>K18+L18</f>
        <v>31756</v>
      </c>
      <c r="M20" s="193" t="str">
        <f t="shared" si="3"/>
        <v>7C0C</v>
      </c>
      <c r="N20" s="272"/>
      <c r="O20" s="291" t="s">
        <v>713</v>
      </c>
    </row>
    <row r="21" spans="1:20" ht="15" customHeight="1">
      <c r="A21" s="193">
        <v>8</v>
      </c>
      <c r="B21" s="193" t="s">
        <v>690</v>
      </c>
      <c r="C21" s="193" t="s">
        <v>741</v>
      </c>
      <c r="D21" s="193" t="s">
        <v>84</v>
      </c>
      <c r="E21" s="193" t="s">
        <v>75</v>
      </c>
      <c r="F21" s="193">
        <v>1</v>
      </c>
      <c r="G21" s="193" t="s">
        <v>61</v>
      </c>
      <c r="H21" s="193" t="str">
        <f t="shared" si="0"/>
        <v>No</v>
      </c>
      <c r="I21" s="193" t="s">
        <v>62</v>
      </c>
      <c r="J21" s="193" t="s">
        <v>62</v>
      </c>
      <c r="K21" s="193">
        <f t="shared" si="1"/>
        <v>1</v>
      </c>
      <c r="L21" s="193">
        <f t="shared" si="2"/>
        <v>31757</v>
      </c>
      <c r="M21" s="193" t="str">
        <f t="shared" si="3"/>
        <v>7C0D</v>
      </c>
      <c r="N21" s="272"/>
      <c r="O21" s="292"/>
    </row>
    <row r="22" spans="1:20" ht="15" customHeight="1">
      <c r="A22" s="193">
        <v>9</v>
      </c>
      <c r="B22" s="193" t="s">
        <v>690</v>
      </c>
      <c r="C22" s="193" t="s">
        <v>740</v>
      </c>
      <c r="D22" s="193" t="s">
        <v>84</v>
      </c>
      <c r="E22" s="193" t="s">
        <v>75</v>
      </c>
      <c r="F22" s="193">
        <v>1</v>
      </c>
      <c r="G22" s="193" t="s">
        <v>61</v>
      </c>
      <c r="H22" s="193" t="str">
        <f t="shared" si="0"/>
        <v>No</v>
      </c>
      <c r="I22" s="193" t="s">
        <v>62</v>
      </c>
      <c r="J22" s="193" t="s">
        <v>62</v>
      </c>
      <c r="K22" s="193">
        <f t="shared" si="1"/>
        <v>1</v>
      </c>
      <c r="L22" s="193">
        <f t="shared" si="2"/>
        <v>31758</v>
      </c>
      <c r="M22" s="193" t="str">
        <f t="shared" si="3"/>
        <v>7C0E</v>
      </c>
      <c r="N22" s="272"/>
      <c r="O22" s="292"/>
      <c r="P22" s="109"/>
      <c r="Q22" s="109"/>
      <c r="R22" s="109"/>
      <c r="S22" s="109"/>
      <c r="T22" s="109"/>
    </row>
    <row r="23" spans="1:20" ht="15" customHeight="1">
      <c r="A23" s="193">
        <v>10</v>
      </c>
      <c r="B23" s="193" t="s">
        <v>690</v>
      </c>
      <c r="C23" s="193" t="s">
        <v>741</v>
      </c>
      <c r="D23" s="193" t="s">
        <v>84</v>
      </c>
      <c r="E23" s="193" t="s">
        <v>75</v>
      </c>
      <c r="F23" s="193">
        <v>1</v>
      </c>
      <c r="G23" s="193" t="s">
        <v>61</v>
      </c>
      <c r="H23" s="193" t="str">
        <f t="shared" si="0"/>
        <v>No</v>
      </c>
      <c r="I23" s="193" t="s">
        <v>62</v>
      </c>
      <c r="J23" s="193" t="s">
        <v>62</v>
      </c>
      <c r="K23" s="193">
        <f t="shared" si="1"/>
        <v>1</v>
      </c>
      <c r="L23" s="193">
        <f t="shared" si="2"/>
        <v>31759</v>
      </c>
      <c r="M23" s="193" t="str">
        <f t="shared" si="3"/>
        <v>7C0F</v>
      </c>
      <c r="N23" s="272"/>
      <c r="O23" s="292"/>
      <c r="P23" s="109"/>
      <c r="Q23" s="109"/>
      <c r="R23" s="109"/>
      <c r="S23" s="109"/>
      <c r="T23" s="109"/>
    </row>
    <row r="24" spans="1:20" ht="15" customHeight="1">
      <c r="A24" s="293" t="s">
        <v>86</v>
      </c>
      <c r="B24" s="293"/>
      <c r="C24" s="293"/>
      <c r="D24" s="293"/>
      <c r="E24" s="293"/>
      <c r="F24" s="293"/>
      <c r="G24" s="293"/>
      <c r="H24" s="293"/>
      <c r="I24" s="293"/>
      <c r="J24" s="293"/>
      <c r="K24" s="293"/>
      <c r="L24" s="293"/>
      <c r="M24" s="293"/>
      <c r="N24" s="293"/>
      <c r="P24" s="109"/>
      <c r="Q24" s="109"/>
      <c r="R24" s="109"/>
      <c r="S24" s="109"/>
      <c r="T24" s="109"/>
    </row>
    <row r="25" spans="1:20" ht="15" customHeight="1">
      <c r="A25" s="197">
        <v>11</v>
      </c>
      <c r="B25" s="102" t="s">
        <v>87</v>
      </c>
      <c r="C25" s="102" t="s">
        <v>88</v>
      </c>
      <c r="D25" s="102" t="s">
        <v>89</v>
      </c>
      <c r="E25" s="102" t="s">
        <v>75</v>
      </c>
      <c r="F25" s="102">
        <v>4</v>
      </c>
      <c r="G25" s="102" t="s">
        <v>61</v>
      </c>
      <c r="H25" s="102" t="str">
        <f t="shared" si="0"/>
        <v>No</v>
      </c>
      <c r="I25" s="102" t="s">
        <v>62</v>
      </c>
      <c r="J25" s="102" t="s">
        <v>62</v>
      </c>
      <c r="K25" s="102">
        <f t="shared" si="1"/>
        <v>4</v>
      </c>
      <c r="L25" s="102">
        <f>K23+L23</f>
        <v>31760</v>
      </c>
      <c r="M25" s="102" t="str">
        <f t="shared" ref="M25:M34" si="4">DEC2HEX(L25,4)</f>
        <v>7C10</v>
      </c>
      <c r="N25" s="198" t="s">
        <v>90</v>
      </c>
      <c r="O25" s="294" t="s">
        <v>715</v>
      </c>
      <c r="P25" s="109"/>
      <c r="Q25" s="109"/>
      <c r="R25" s="109"/>
      <c r="S25" s="109"/>
      <c r="T25" s="109"/>
    </row>
    <row r="26" spans="1:20" ht="15" customHeight="1">
      <c r="A26" s="195">
        <v>12</v>
      </c>
      <c r="B26" s="95" t="s">
        <v>87</v>
      </c>
      <c r="C26" s="95" t="s">
        <v>91</v>
      </c>
      <c r="D26" s="106" t="s">
        <v>92</v>
      </c>
      <c r="E26" s="95" t="s">
        <v>75</v>
      </c>
      <c r="F26" s="95">
        <v>10</v>
      </c>
      <c r="G26" s="95" t="s">
        <v>61</v>
      </c>
      <c r="H26" s="95" t="s">
        <v>62</v>
      </c>
      <c r="I26" s="95" t="s">
        <v>62</v>
      </c>
      <c r="J26" s="95" t="s">
        <v>62</v>
      </c>
      <c r="K26" s="95">
        <f t="shared" si="1"/>
        <v>10</v>
      </c>
      <c r="L26" s="95">
        <f t="shared" ref="L26:L34" si="5">K25+L25</f>
        <v>31764</v>
      </c>
      <c r="M26" s="95" t="str">
        <f t="shared" si="4"/>
        <v>7C14</v>
      </c>
      <c r="N26" s="98" t="s">
        <v>93</v>
      </c>
      <c r="O26" s="294"/>
      <c r="P26" s="109"/>
      <c r="Q26" s="109"/>
      <c r="R26" s="109"/>
      <c r="S26" s="109"/>
      <c r="T26" s="109"/>
    </row>
    <row r="27" spans="1:20" ht="15" customHeight="1" thickBot="1">
      <c r="A27" s="196">
        <v>13</v>
      </c>
      <c r="B27" s="96" t="s">
        <v>94</v>
      </c>
      <c r="C27" s="96" t="s">
        <v>95</v>
      </c>
      <c r="D27" s="96" t="s">
        <v>96</v>
      </c>
      <c r="E27" s="96" t="s">
        <v>60</v>
      </c>
      <c r="F27" s="96">
        <v>2</v>
      </c>
      <c r="G27" s="96" t="s">
        <v>61</v>
      </c>
      <c r="H27" s="96" t="str">
        <f t="shared" ref="H27:H34" si="6">IF(G27="ECC","Yes","No")</f>
        <v>No</v>
      </c>
      <c r="I27" s="96" t="s">
        <v>62</v>
      </c>
      <c r="J27" s="96" t="s">
        <v>62</v>
      </c>
      <c r="K27" s="96">
        <f t="shared" si="1"/>
        <v>2</v>
      </c>
      <c r="L27" s="96">
        <f t="shared" si="5"/>
        <v>31774</v>
      </c>
      <c r="M27" s="96" t="str">
        <f t="shared" si="4"/>
        <v>7C1E</v>
      </c>
      <c r="N27" s="99" t="s">
        <v>97</v>
      </c>
      <c r="O27" s="294"/>
      <c r="P27" s="109"/>
      <c r="Q27" s="109"/>
      <c r="R27" s="109"/>
      <c r="S27" s="109"/>
      <c r="T27" s="109"/>
    </row>
    <row r="28" spans="1:20" ht="15" customHeight="1">
      <c r="A28" s="194">
        <v>14</v>
      </c>
      <c r="B28" s="94" t="s">
        <v>94</v>
      </c>
      <c r="C28" s="94" t="s">
        <v>98</v>
      </c>
      <c r="D28" s="94" t="s">
        <v>99</v>
      </c>
      <c r="E28" s="94" t="s">
        <v>75</v>
      </c>
      <c r="F28" s="94">
        <v>2</v>
      </c>
      <c r="G28" s="94" t="s">
        <v>61</v>
      </c>
      <c r="H28" s="94" t="str">
        <f t="shared" si="6"/>
        <v>No</v>
      </c>
      <c r="I28" s="94" t="s">
        <v>100</v>
      </c>
      <c r="J28" s="94" t="s">
        <v>62</v>
      </c>
      <c r="K28" s="94">
        <f t="shared" ref="K28:K33" si="7">F28*IF(G28="Redundant",2,1)</f>
        <v>2</v>
      </c>
      <c r="L28" s="94">
        <f t="shared" si="5"/>
        <v>31776</v>
      </c>
      <c r="M28" s="94" t="str">
        <f t="shared" si="4"/>
        <v>7C20</v>
      </c>
      <c r="N28" s="97" t="s">
        <v>101</v>
      </c>
      <c r="O28" s="294"/>
      <c r="P28" s="109"/>
      <c r="Q28" s="109"/>
      <c r="R28" s="109"/>
      <c r="S28" s="109"/>
      <c r="T28" s="109"/>
    </row>
    <row r="29" spans="1:20" ht="15" customHeight="1">
      <c r="A29" s="195">
        <v>15</v>
      </c>
      <c r="B29" s="95" t="s">
        <v>85</v>
      </c>
      <c r="C29" s="95" t="s">
        <v>102</v>
      </c>
      <c r="D29" s="95" t="s">
        <v>84</v>
      </c>
      <c r="E29" s="95" t="s">
        <v>75</v>
      </c>
      <c r="F29" s="95">
        <v>1</v>
      </c>
      <c r="G29" s="95" t="s">
        <v>61</v>
      </c>
      <c r="H29" s="95" t="str">
        <f t="shared" si="6"/>
        <v>No</v>
      </c>
      <c r="I29" s="95" t="s">
        <v>100</v>
      </c>
      <c r="J29" s="95" t="s">
        <v>62</v>
      </c>
      <c r="K29" s="95">
        <f t="shared" si="7"/>
        <v>1</v>
      </c>
      <c r="L29" s="95">
        <f t="shared" si="5"/>
        <v>31778</v>
      </c>
      <c r="M29" s="95" t="str">
        <f t="shared" si="4"/>
        <v>7C22</v>
      </c>
      <c r="N29" s="98" t="s">
        <v>103</v>
      </c>
      <c r="O29" s="294"/>
      <c r="P29" s="109"/>
      <c r="Q29" s="109"/>
      <c r="R29" s="109"/>
      <c r="S29" s="109"/>
      <c r="T29" s="109"/>
    </row>
    <row r="30" spans="1:20" ht="15" customHeight="1">
      <c r="A30" s="195">
        <v>16</v>
      </c>
      <c r="B30" s="95" t="s">
        <v>87</v>
      </c>
      <c r="C30" s="95" t="s">
        <v>104</v>
      </c>
      <c r="D30" s="95" t="s">
        <v>105</v>
      </c>
      <c r="E30" s="95" t="s">
        <v>75</v>
      </c>
      <c r="F30" s="95">
        <v>1</v>
      </c>
      <c r="G30" s="95" t="s">
        <v>61</v>
      </c>
      <c r="H30" s="95" t="str">
        <f t="shared" si="6"/>
        <v>No</v>
      </c>
      <c r="I30" s="95" t="s">
        <v>100</v>
      </c>
      <c r="J30" s="95" t="s">
        <v>62</v>
      </c>
      <c r="K30" s="95">
        <f t="shared" si="7"/>
        <v>1</v>
      </c>
      <c r="L30" s="95">
        <f t="shared" si="5"/>
        <v>31779</v>
      </c>
      <c r="M30" s="95" t="str">
        <f t="shared" si="4"/>
        <v>7C23</v>
      </c>
      <c r="N30" s="98" t="s">
        <v>106</v>
      </c>
      <c r="O30" s="294"/>
      <c r="P30" s="109"/>
      <c r="Q30" s="109"/>
      <c r="R30" s="109"/>
      <c r="S30" s="109"/>
      <c r="T30" s="109"/>
    </row>
    <row r="31" spans="1:20" ht="15" customHeight="1">
      <c r="A31" s="195">
        <v>17</v>
      </c>
      <c r="B31" s="95" t="s">
        <v>87</v>
      </c>
      <c r="C31" s="95" t="s">
        <v>107</v>
      </c>
      <c r="D31" s="95" t="s">
        <v>108</v>
      </c>
      <c r="E31" s="95" t="s">
        <v>60</v>
      </c>
      <c r="F31" s="95">
        <v>5</v>
      </c>
      <c r="G31" s="95" t="s">
        <v>61</v>
      </c>
      <c r="H31" s="95" t="str">
        <f t="shared" si="6"/>
        <v>No</v>
      </c>
      <c r="I31" s="95" t="s">
        <v>100</v>
      </c>
      <c r="J31" s="95" t="s">
        <v>62</v>
      </c>
      <c r="K31" s="95">
        <f t="shared" si="7"/>
        <v>5</v>
      </c>
      <c r="L31" s="95">
        <f t="shared" si="5"/>
        <v>31780</v>
      </c>
      <c r="M31" s="95" t="str">
        <f t="shared" si="4"/>
        <v>7C24</v>
      </c>
      <c r="N31" s="98" t="s">
        <v>109</v>
      </c>
      <c r="O31" s="294"/>
      <c r="P31" s="109"/>
      <c r="Q31" s="109"/>
      <c r="R31" s="109"/>
      <c r="S31" s="109"/>
      <c r="T31" s="109"/>
    </row>
    <row r="32" spans="1:20" ht="15" customHeight="1" thickBot="1">
      <c r="A32" s="196">
        <v>18</v>
      </c>
      <c r="B32" s="96" t="s">
        <v>87</v>
      </c>
      <c r="C32" s="96" t="s">
        <v>110</v>
      </c>
      <c r="D32" s="96" t="s">
        <v>111</v>
      </c>
      <c r="E32" s="96" t="s">
        <v>60</v>
      </c>
      <c r="F32" s="96">
        <v>287</v>
      </c>
      <c r="G32" s="96" t="s">
        <v>61</v>
      </c>
      <c r="H32" s="96" t="str">
        <f t="shared" si="6"/>
        <v>No</v>
      </c>
      <c r="I32" s="96" t="s">
        <v>100</v>
      </c>
      <c r="J32" s="96" t="s">
        <v>100</v>
      </c>
      <c r="K32" s="96">
        <f t="shared" si="7"/>
        <v>287</v>
      </c>
      <c r="L32" s="96">
        <f t="shared" si="5"/>
        <v>31785</v>
      </c>
      <c r="M32" s="96" t="str">
        <f t="shared" si="4"/>
        <v>7C29</v>
      </c>
      <c r="N32" s="99" t="s">
        <v>112</v>
      </c>
      <c r="O32" s="294"/>
    </row>
    <row r="33" spans="1:15" ht="15" customHeight="1">
      <c r="A33" s="197">
        <v>19</v>
      </c>
      <c r="B33" s="102" t="s">
        <v>87</v>
      </c>
      <c r="C33" s="102" t="s">
        <v>102</v>
      </c>
      <c r="D33" s="102" t="s">
        <v>113</v>
      </c>
      <c r="E33" s="102" t="s">
        <v>75</v>
      </c>
      <c r="F33" s="102">
        <v>2</v>
      </c>
      <c r="G33" s="102" t="s">
        <v>61</v>
      </c>
      <c r="H33" s="102" t="str">
        <f t="shared" si="6"/>
        <v>No</v>
      </c>
      <c r="I33" s="102" t="s">
        <v>100</v>
      </c>
      <c r="J33" s="102" t="s">
        <v>62</v>
      </c>
      <c r="K33" s="102">
        <f t="shared" si="7"/>
        <v>2</v>
      </c>
      <c r="L33" s="102">
        <f t="shared" si="5"/>
        <v>32072</v>
      </c>
      <c r="M33" s="102" t="str">
        <f t="shared" si="4"/>
        <v>7D48</v>
      </c>
      <c r="N33" s="198" t="s">
        <v>114</v>
      </c>
      <c r="O33" s="294"/>
    </row>
    <row r="34" spans="1:15" ht="15" customHeight="1" thickBot="1">
      <c r="A34" s="196">
        <v>20</v>
      </c>
      <c r="B34" s="96" t="s">
        <v>87</v>
      </c>
      <c r="C34" s="96" t="s">
        <v>115</v>
      </c>
      <c r="D34" s="96" t="s">
        <v>116</v>
      </c>
      <c r="E34" s="96" t="s">
        <v>60</v>
      </c>
      <c r="F34" s="96">
        <v>2</v>
      </c>
      <c r="G34" s="96" t="s">
        <v>61</v>
      </c>
      <c r="H34" s="96" t="str">
        <f t="shared" si="6"/>
        <v>No</v>
      </c>
      <c r="I34" s="96" t="s">
        <v>100</v>
      </c>
      <c r="J34" s="96" t="s">
        <v>62</v>
      </c>
      <c r="K34" s="96">
        <f>F34*IF(G34="Redundant",2,1)</f>
        <v>2</v>
      </c>
      <c r="L34" s="96">
        <f t="shared" si="5"/>
        <v>32074</v>
      </c>
      <c r="M34" s="96" t="str">
        <f t="shared" si="4"/>
        <v>7D4A</v>
      </c>
      <c r="N34" s="99" t="s">
        <v>714</v>
      </c>
      <c r="O34" s="294"/>
    </row>
    <row r="35" spans="1:15" ht="15" customHeight="1" thickBot="1">
      <c r="A35" s="288" t="s">
        <v>732</v>
      </c>
      <c r="B35" s="289"/>
      <c r="C35" s="289"/>
      <c r="D35" s="289"/>
      <c r="E35" s="289"/>
      <c r="F35" s="289"/>
      <c r="G35" s="289"/>
      <c r="H35" s="289"/>
      <c r="I35" s="289"/>
      <c r="J35" s="289"/>
      <c r="K35" s="289"/>
      <c r="L35" s="289"/>
      <c r="M35" s="289"/>
      <c r="N35" s="290"/>
    </row>
    <row r="36" spans="1:15" ht="15" customHeight="1">
      <c r="A36" s="199">
        <v>21</v>
      </c>
      <c r="B36" s="200" t="s">
        <v>87</v>
      </c>
      <c r="C36" s="200" t="s">
        <v>691</v>
      </c>
      <c r="D36" s="200" t="s">
        <v>117</v>
      </c>
      <c r="E36" s="200" t="s">
        <v>60</v>
      </c>
      <c r="F36" s="200">
        <v>1</v>
      </c>
      <c r="G36" s="200" t="s">
        <v>61</v>
      </c>
      <c r="H36" s="200" t="s">
        <v>62</v>
      </c>
      <c r="I36" s="200" t="s">
        <v>62</v>
      </c>
      <c r="J36" s="200" t="s">
        <v>62</v>
      </c>
      <c r="K36" s="200">
        <f t="shared" ref="K36:K42" si="8">F36</f>
        <v>1</v>
      </c>
      <c r="L36" s="200">
        <f>K34+L34</f>
        <v>32076</v>
      </c>
      <c r="M36" s="200" t="str">
        <f t="shared" ref="M36:M38" si="9">DEC2HEX(L36,4)</f>
        <v>7D4C</v>
      </c>
      <c r="N36" s="201" t="s">
        <v>724</v>
      </c>
      <c r="O36" s="302" t="s">
        <v>717</v>
      </c>
    </row>
    <row r="37" spans="1:15" ht="29">
      <c r="A37" s="202">
        <v>22</v>
      </c>
      <c r="B37" s="100" t="s">
        <v>87</v>
      </c>
      <c r="C37" s="100" t="s">
        <v>727</v>
      </c>
      <c r="D37" s="100" t="s">
        <v>729</v>
      </c>
      <c r="E37" s="100" t="s">
        <v>60</v>
      </c>
      <c r="F37" s="100">
        <v>1</v>
      </c>
      <c r="G37" s="100" t="s">
        <v>61</v>
      </c>
      <c r="H37" s="100" t="s">
        <v>62</v>
      </c>
      <c r="I37" s="100" t="s">
        <v>62</v>
      </c>
      <c r="J37" s="100" t="s">
        <v>62</v>
      </c>
      <c r="K37" s="100">
        <f t="shared" si="8"/>
        <v>1</v>
      </c>
      <c r="L37" s="100">
        <f t="shared" ref="L37:L42" si="10">K36+L36</f>
        <v>32077</v>
      </c>
      <c r="M37" s="100" t="str">
        <f t="shared" si="9"/>
        <v>7D4D</v>
      </c>
      <c r="N37" s="268" t="s">
        <v>725</v>
      </c>
      <c r="O37" s="303"/>
    </row>
    <row r="38" spans="1:15" ht="15" customHeight="1">
      <c r="A38" s="202">
        <v>23</v>
      </c>
      <c r="B38" s="100" t="s">
        <v>87</v>
      </c>
      <c r="C38" s="100" t="s">
        <v>119</v>
      </c>
      <c r="D38" s="100" t="s">
        <v>113</v>
      </c>
      <c r="E38" s="100" t="s">
        <v>60</v>
      </c>
      <c r="F38" s="100">
        <v>2</v>
      </c>
      <c r="G38" s="100" t="s">
        <v>61</v>
      </c>
      <c r="H38" s="100" t="s">
        <v>62</v>
      </c>
      <c r="I38" s="100" t="s">
        <v>62</v>
      </c>
      <c r="J38" s="100" t="s">
        <v>62</v>
      </c>
      <c r="K38" s="100">
        <f t="shared" ref="K38" si="11">F38</f>
        <v>2</v>
      </c>
      <c r="L38" s="100">
        <f t="shared" si="10"/>
        <v>32078</v>
      </c>
      <c r="M38" s="100" t="str">
        <f t="shared" si="9"/>
        <v>7D4E</v>
      </c>
      <c r="N38" s="101" t="s">
        <v>723</v>
      </c>
      <c r="O38" s="304"/>
    </row>
    <row r="39" spans="1:15" ht="72.5">
      <c r="A39" s="257">
        <v>24</v>
      </c>
      <c r="B39" s="258" t="s">
        <v>87</v>
      </c>
      <c r="C39" s="258" t="s">
        <v>692</v>
      </c>
      <c r="D39" s="258" t="s">
        <v>118</v>
      </c>
      <c r="E39" s="258" t="s">
        <v>60</v>
      </c>
      <c r="F39" s="258">
        <v>4</v>
      </c>
      <c r="G39" s="258" t="s">
        <v>61</v>
      </c>
      <c r="H39" s="258" t="s">
        <v>62</v>
      </c>
      <c r="I39" s="258" t="s">
        <v>62</v>
      </c>
      <c r="J39" s="258" t="s">
        <v>62</v>
      </c>
      <c r="K39" s="258">
        <f t="shared" si="8"/>
        <v>4</v>
      </c>
      <c r="L39" s="258">
        <f>K38+L38</f>
        <v>32080</v>
      </c>
      <c r="M39" s="258" t="str">
        <f t="shared" ref="M39" si="12">DEC2HEX(L39,4)</f>
        <v>7D50</v>
      </c>
      <c r="N39" s="267" t="s">
        <v>722</v>
      </c>
      <c r="O39" s="260" t="s">
        <v>718</v>
      </c>
    </row>
    <row r="40" spans="1:15" ht="15" customHeight="1">
      <c r="A40" s="202">
        <v>25</v>
      </c>
      <c r="B40" s="100" t="s">
        <v>87</v>
      </c>
      <c r="C40" s="100" t="s">
        <v>119</v>
      </c>
      <c r="D40" s="100" t="s">
        <v>731</v>
      </c>
      <c r="E40" s="100" t="s">
        <v>60</v>
      </c>
      <c r="F40" s="100">
        <v>8</v>
      </c>
      <c r="G40" s="100" t="s">
        <v>61</v>
      </c>
      <c r="H40" s="100" t="s">
        <v>62</v>
      </c>
      <c r="I40" s="100" t="s">
        <v>62</v>
      </c>
      <c r="J40" s="100" t="s">
        <v>62</v>
      </c>
      <c r="K40" s="100">
        <f t="shared" ref="K40" si="13">F40</f>
        <v>8</v>
      </c>
      <c r="L40" s="100">
        <f t="shared" si="10"/>
        <v>32084</v>
      </c>
      <c r="M40" s="100" t="str">
        <f t="shared" ref="M40" si="14">DEC2HEX(L40,4)</f>
        <v>7D54</v>
      </c>
      <c r="N40" s="101" t="s">
        <v>85</v>
      </c>
      <c r="O40" s="261"/>
    </row>
    <row r="41" spans="1:15" ht="15" customHeight="1">
      <c r="A41" s="257">
        <v>26</v>
      </c>
      <c r="B41" s="258" t="s">
        <v>87</v>
      </c>
      <c r="C41" s="258" t="s">
        <v>735</v>
      </c>
      <c r="D41" s="258" t="s">
        <v>113</v>
      </c>
      <c r="E41" s="258" t="s">
        <v>60</v>
      </c>
      <c r="F41" s="258">
        <v>2</v>
      </c>
      <c r="G41" s="258" t="s">
        <v>61</v>
      </c>
      <c r="H41" s="258" t="s">
        <v>62</v>
      </c>
      <c r="I41" s="258" t="s">
        <v>62</v>
      </c>
      <c r="J41" s="258" t="s">
        <v>62</v>
      </c>
      <c r="K41" s="258">
        <f t="shared" si="8"/>
        <v>2</v>
      </c>
      <c r="L41" s="258">
        <f t="shared" ref="L41" si="15">K40+L40</f>
        <v>32092</v>
      </c>
      <c r="M41" s="258" t="str">
        <f t="shared" ref="M41" si="16">DEC2HEX(L41,4)</f>
        <v>7D5C</v>
      </c>
      <c r="N41" s="259" t="s">
        <v>114</v>
      </c>
      <c r="O41" s="301" t="s">
        <v>712</v>
      </c>
    </row>
    <row r="42" spans="1:15" ht="15" customHeight="1" thickBot="1">
      <c r="A42" s="262">
        <v>27</v>
      </c>
      <c r="B42" s="263" t="s">
        <v>87</v>
      </c>
      <c r="C42" s="263" t="s">
        <v>693</v>
      </c>
      <c r="D42" s="263" t="s">
        <v>730</v>
      </c>
      <c r="E42" s="263" t="s">
        <v>60</v>
      </c>
      <c r="F42" s="263">
        <v>2</v>
      </c>
      <c r="G42" s="263" t="s">
        <v>61</v>
      </c>
      <c r="H42" s="263" t="s">
        <v>62</v>
      </c>
      <c r="I42" s="263" t="s">
        <v>62</v>
      </c>
      <c r="J42" s="263" t="s">
        <v>62</v>
      </c>
      <c r="K42" s="263">
        <f t="shared" si="8"/>
        <v>2</v>
      </c>
      <c r="L42" s="263">
        <f t="shared" si="10"/>
        <v>32094</v>
      </c>
      <c r="M42" s="263" t="str">
        <f>DEC2HEX(L42,4)</f>
        <v>7D5E</v>
      </c>
      <c r="N42" s="264" t="s">
        <v>694</v>
      </c>
      <c r="O42" s="301"/>
    </row>
    <row r="43" spans="1:15" ht="15" customHeight="1" thickBot="1">
      <c r="A43" s="295" t="s">
        <v>707</v>
      </c>
      <c r="B43" s="296"/>
      <c r="C43" s="296"/>
      <c r="D43" s="296"/>
      <c r="E43" s="296"/>
      <c r="F43" s="296"/>
      <c r="G43" s="296"/>
      <c r="H43" s="296"/>
      <c r="I43" s="296"/>
      <c r="J43" s="296"/>
      <c r="K43" s="296"/>
      <c r="L43" s="296"/>
      <c r="M43" s="296"/>
      <c r="N43" s="297"/>
    </row>
    <row r="44" spans="1:15" ht="15" customHeight="1" thickBot="1">
      <c r="A44" s="203">
        <v>28</v>
      </c>
      <c r="B44" s="204" t="s">
        <v>695</v>
      </c>
      <c r="C44" s="204" t="s">
        <v>696</v>
      </c>
      <c r="D44" s="204" t="s">
        <v>65</v>
      </c>
      <c r="E44" s="204" t="s">
        <v>60</v>
      </c>
      <c r="F44" s="204">
        <v>4</v>
      </c>
      <c r="G44" s="204" t="s">
        <v>61</v>
      </c>
      <c r="H44" s="204" t="s">
        <v>62</v>
      </c>
      <c r="I44" s="204" t="s">
        <v>62</v>
      </c>
      <c r="J44" s="204" t="s">
        <v>62</v>
      </c>
      <c r="K44" s="205">
        <f>F44</f>
        <v>4</v>
      </c>
      <c r="L44" s="205">
        <f>K42+L42</f>
        <v>32096</v>
      </c>
      <c r="M44" s="205" t="str">
        <f>DEC2HEX(L44,4)</f>
        <v>7D60</v>
      </c>
      <c r="N44" s="206" t="s">
        <v>709</v>
      </c>
      <c r="O44" s="207" t="s">
        <v>710</v>
      </c>
    </row>
    <row r="45" spans="1:15" ht="15" customHeight="1" thickBot="1">
      <c r="A45" s="288" t="s">
        <v>708</v>
      </c>
      <c r="B45" s="289"/>
      <c r="C45" s="289"/>
      <c r="D45" s="289"/>
      <c r="E45" s="289"/>
      <c r="F45" s="289"/>
      <c r="G45" s="289"/>
      <c r="H45" s="289"/>
      <c r="I45" s="289"/>
      <c r="J45" s="289"/>
      <c r="K45" s="289"/>
      <c r="L45" s="289"/>
      <c r="M45" s="289"/>
      <c r="N45" s="290"/>
    </row>
    <row r="46" spans="1:15" ht="15" customHeight="1">
      <c r="A46" s="208">
        <v>29</v>
      </c>
      <c r="B46" s="209" t="s">
        <v>87</v>
      </c>
      <c r="C46" s="209" t="s">
        <v>121</v>
      </c>
      <c r="D46" s="209" t="s">
        <v>122</v>
      </c>
      <c r="E46" s="209" t="s">
        <v>60</v>
      </c>
      <c r="F46" s="209">
        <v>134</v>
      </c>
      <c r="G46" s="209" t="s">
        <v>61</v>
      </c>
      <c r="H46" s="209" t="s">
        <v>62</v>
      </c>
      <c r="I46" s="209" t="s">
        <v>62</v>
      </c>
      <c r="J46" s="209" t="s">
        <v>62</v>
      </c>
      <c r="K46" s="209">
        <f>F46</f>
        <v>134</v>
      </c>
      <c r="L46" s="210">
        <f>K44+L44</f>
        <v>32100</v>
      </c>
      <c r="M46" s="211" t="str">
        <f t="shared" ref="M46:M55" si="17">DEC2HEX(L46,4)</f>
        <v>7D64</v>
      </c>
      <c r="N46" s="212" t="s">
        <v>697</v>
      </c>
    </row>
    <row r="47" spans="1:15" ht="15" customHeight="1" thickBot="1">
      <c r="A47" s="213">
        <v>30</v>
      </c>
      <c r="B47" s="214" t="s">
        <v>87</v>
      </c>
      <c r="C47" s="214" t="s">
        <v>123</v>
      </c>
      <c r="D47" s="214" t="s">
        <v>122</v>
      </c>
      <c r="E47" s="214" t="s">
        <v>60</v>
      </c>
      <c r="F47" s="214">
        <v>2</v>
      </c>
      <c r="G47" s="214" t="s">
        <v>61</v>
      </c>
      <c r="H47" s="214" t="s">
        <v>62</v>
      </c>
      <c r="I47" s="214" t="s">
        <v>62</v>
      </c>
      <c r="J47" s="214" t="s">
        <v>62</v>
      </c>
      <c r="K47" s="214">
        <f>F47</f>
        <v>2</v>
      </c>
      <c r="L47" s="215">
        <f>K46+L46</f>
        <v>32234</v>
      </c>
      <c r="M47" s="216" t="str">
        <f t="shared" si="17"/>
        <v>7DEA</v>
      </c>
      <c r="N47" s="217" t="s">
        <v>698</v>
      </c>
    </row>
    <row r="48" spans="1:15" ht="15" customHeight="1" thickBot="1">
      <c r="A48" s="283"/>
      <c r="B48" s="284"/>
      <c r="C48" s="284"/>
      <c r="D48" s="284"/>
      <c r="E48" s="284"/>
      <c r="F48" s="284"/>
      <c r="G48" s="284"/>
      <c r="H48" s="284"/>
      <c r="I48" s="284"/>
      <c r="J48" s="284"/>
      <c r="K48" s="284"/>
      <c r="L48" s="284"/>
      <c r="M48" s="284"/>
      <c r="N48" s="285"/>
    </row>
    <row r="49" spans="1:14" ht="15" customHeight="1" thickBot="1">
      <c r="A49" s="225">
        <v>31</v>
      </c>
      <c r="B49" s="76" t="s">
        <v>120</v>
      </c>
      <c r="C49" s="76"/>
      <c r="D49" s="76"/>
      <c r="E49" s="76"/>
      <c r="F49" s="219">
        <v>20</v>
      </c>
      <c r="G49" s="220" t="s">
        <v>61</v>
      </c>
      <c r="H49" s="220" t="str">
        <f>IF(G49="ECC","Yes","No")</f>
        <v>No</v>
      </c>
      <c r="I49" s="220" t="s">
        <v>62</v>
      </c>
      <c r="J49" s="220" t="s">
        <v>62</v>
      </c>
      <c r="K49" s="220">
        <f>F49*IF(G49="Redundant",2,1)</f>
        <v>20</v>
      </c>
      <c r="L49" s="221">
        <f>K47+L47</f>
        <v>32236</v>
      </c>
      <c r="M49" s="222" t="str">
        <f t="shared" ref="M49" si="18">DEC2HEX(L49,4)</f>
        <v>7DEC</v>
      </c>
      <c r="N49" s="223" t="s">
        <v>702</v>
      </c>
    </row>
    <row r="50" spans="1:14" ht="15" customHeight="1" thickBot="1">
      <c r="A50" s="237"/>
      <c r="B50" s="246"/>
      <c r="C50" s="246"/>
      <c r="D50" s="246"/>
      <c r="E50" s="246"/>
      <c r="F50" s="247"/>
      <c r="G50" s="248"/>
      <c r="H50" s="248"/>
      <c r="I50" s="248"/>
      <c r="J50" s="248"/>
      <c r="K50" s="248"/>
      <c r="L50" s="249"/>
      <c r="M50" s="249"/>
      <c r="N50" s="250"/>
    </row>
    <row r="51" spans="1:14" ht="15" customHeight="1" thickBot="1">
      <c r="A51" s="277" t="s">
        <v>706</v>
      </c>
      <c r="B51" s="278"/>
      <c r="C51" s="278"/>
      <c r="D51" s="278"/>
      <c r="E51" s="278"/>
      <c r="F51" s="278"/>
      <c r="G51" s="278"/>
      <c r="H51" s="278"/>
      <c r="I51" s="278"/>
      <c r="J51" s="278"/>
      <c r="K51" s="278"/>
      <c r="L51" s="278"/>
      <c r="M51" s="278"/>
      <c r="N51" s="279"/>
    </row>
    <row r="52" spans="1:14" ht="15" customHeight="1" thickBot="1">
      <c r="A52" s="226" t="s">
        <v>719</v>
      </c>
      <c r="B52" s="227" t="s">
        <v>720</v>
      </c>
      <c r="C52" s="227"/>
      <c r="D52" s="227"/>
      <c r="E52" s="227"/>
      <c r="F52" s="228">
        <v>492</v>
      </c>
      <c r="G52" s="229" t="s">
        <v>61</v>
      </c>
      <c r="H52" s="229" t="str">
        <f>IF(G52="ECC","Yes","No")</f>
        <v>No</v>
      </c>
      <c r="I52" s="229" t="s">
        <v>62</v>
      </c>
      <c r="J52" s="229" t="s">
        <v>62</v>
      </c>
      <c r="K52" s="229">
        <f>F52*IF(G52="Redundant",2,1)</f>
        <v>492</v>
      </c>
      <c r="L52" s="230">
        <f>K49+L49</f>
        <v>32256</v>
      </c>
      <c r="M52" s="231" t="str">
        <f t="shared" ref="M52" si="19">DEC2HEX(L52,4)</f>
        <v>7E00</v>
      </c>
      <c r="N52" s="232" t="s">
        <v>703</v>
      </c>
    </row>
    <row r="53" spans="1:14" ht="15" customHeight="1" thickBot="1">
      <c r="A53" s="218"/>
      <c r="B53" s="76" t="s">
        <v>120</v>
      </c>
      <c r="C53" s="76"/>
      <c r="D53" s="76"/>
      <c r="E53" s="76"/>
      <c r="F53" s="219">
        <v>20</v>
      </c>
      <c r="G53" s="220" t="s">
        <v>61</v>
      </c>
      <c r="H53" s="220" t="str">
        <f>IF(G53="ECC","Yes","No")</f>
        <v>No</v>
      </c>
      <c r="I53" s="220" t="s">
        <v>62</v>
      </c>
      <c r="J53" s="220" t="s">
        <v>62</v>
      </c>
      <c r="K53" s="220">
        <f>F53*IF(G53="Redundant",2,1)</f>
        <v>20</v>
      </c>
      <c r="L53" s="221">
        <f>K52+L52</f>
        <v>32748</v>
      </c>
      <c r="M53" s="222" t="str">
        <f t="shared" si="17"/>
        <v>7FEC</v>
      </c>
      <c r="N53" s="223" t="s">
        <v>702</v>
      </c>
    </row>
    <row r="54" spans="1:14" ht="15" customHeight="1" thickBot="1">
      <c r="A54" s="280"/>
      <c r="B54" s="281"/>
      <c r="C54" s="281"/>
      <c r="D54" s="281"/>
      <c r="E54" s="281"/>
      <c r="F54" s="281"/>
      <c r="G54" s="281"/>
      <c r="H54" s="281"/>
      <c r="I54" s="281"/>
      <c r="J54" s="281"/>
      <c r="K54" s="281"/>
      <c r="L54" s="281"/>
      <c r="M54" s="281"/>
      <c r="N54" s="282"/>
    </row>
    <row r="55" spans="1:14" ht="15" customHeight="1" thickBot="1">
      <c r="A55" s="251"/>
      <c r="B55" s="252" t="s">
        <v>124</v>
      </c>
      <c r="C55" s="252"/>
      <c r="D55" s="252"/>
      <c r="E55" s="252"/>
      <c r="F55" s="253">
        <f>$C$9*1024</f>
        <v>32768</v>
      </c>
      <c r="G55" s="253"/>
      <c r="H55" s="253"/>
      <c r="I55" s="253"/>
      <c r="J55" s="253"/>
      <c r="K55" s="253">
        <f>SUM(K13:K53)</f>
        <v>1024</v>
      </c>
      <c r="L55" s="254">
        <f>K53+L53</f>
        <v>32768</v>
      </c>
      <c r="M55" s="255" t="str">
        <f t="shared" si="17"/>
        <v>8000</v>
      </c>
      <c r="N55" s="256"/>
    </row>
    <row r="57" spans="1:14">
      <c r="B57" s="75"/>
      <c r="C57" s="75"/>
      <c r="D57" s="75"/>
      <c r="E57" s="75"/>
      <c r="L57" t="s">
        <v>39</v>
      </c>
    </row>
  </sheetData>
  <mergeCells count="18">
    <mergeCell ref="C3:E3"/>
    <mergeCell ref="C4:E4"/>
    <mergeCell ref="C5:E5"/>
    <mergeCell ref="G10:J10"/>
    <mergeCell ref="A12:N12"/>
    <mergeCell ref="A51:N51"/>
    <mergeCell ref="A54:N54"/>
    <mergeCell ref="A48:N48"/>
    <mergeCell ref="O13:O18"/>
    <mergeCell ref="A45:N45"/>
    <mergeCell ref="O20:O23"/>
    <mergeCell ref="A24:N24"/>
    <mergeCell ref="O25:O34"/>
    <mergeCell ref="A35:N35"/>
    <mergeCell ref="A43:N43"/>
    <mergeCell ref="A19:N19"/>
    <mergeCell ref="O41:O42"/>
    <mergeCell ref="O36:O38"/>
  </mergeCells>
  <phoneticPr fontId="36" type="noConversion"/>
  <dataValidations disablePrompts="1" count="1">
    <dataValidation type="list" allowBlank="1" showInputMessage="1" showErrorMessage="1" sqref="C6" xr:uid="{1EB80BE2-1861-4823-A034-27CCBEDD4494}">
      <formula1>"FIRST,LAST"</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2:K184"/>
  <sheetViews>
    <sheetView tabSelected="1" zoomScale="80" zoomScaleNormal="80" workbookViewId="0">
      <pane xSplit="7" ySplit="8" topLeftCell="H9" activePane="bottomRight" state="frozenSplit"/>
      <selection pane="topRight" activeCell="G1" sqref="G1"/>
      <selection pane="bottomLeft" activeCell="A8" sqref="A8"/>
      <selection pane="bottomRight" activeCell="E113" sqref="E113:F158"/>
    </sheetView>
  </sheetViews>
  <sheetFormatPr defaultRowHeight="14.5"/>
  <cols>
    <col min="1" max="1" width="11.453125" customWidth="1"/>
    <col min="2" max="2" width="10.90625" style="85" customWidth="1"/>
    <col min="3" max="3" width="9.453125" style="111" customWidth="1"/>
    <col min="4" max="6" width="18.453125" customWidth="1"/>
    <col min="7" max="7" width="37.453125" customWidth="1"/>
    <col min="8" max="8" width="65.7265625" customWidth="1"/>
    <col min="9" max="9" width="57.90625" customWidth="1"/>
    <col min="10" max="10" width="21.453125" style="43" customWidth="1"/>
    <col min="11" max="11" width="16.453125" style="43" customWidth="1"/>
    <col min="12" max="12" width="27.08984375" customWidth="1"/>
    <col min="13" max="13" width="73.90625" customWidth="1"/>
  </cols>
  <sheetData>
    <row r="2" spans="1:11">
      <c r="A2" s="177"/>
      <c r="B2" s="172" t="s">
        <v>125</v>
      </c>
      <c r="C2" s="173"/>
    </row>
    <row r="3" spans="1:11">
      <c r="B3" s="174" t="s">
        <v>126</v>
      </c>
      <c r="C3" s="173"/>
    </row>
    <row r="4" spans="1:11">
      <c r="A4" s="175"/>
      <c r="B4" s="174" t="s">
        <v>127</v>
      </c>
      <c r="C4" s="173"/>
    </row>
    <row r="5" spans="1:11">
      <c r="A5" s="175"/>
      <c r="B5" s="174" t="s">
        <v>128</v>
      </c>
      <c r="C5" s="173"/>
      <c r="G5" s="176"/>
    </row>
    <row r="8" spans="1:11" s="150" customFormat="1" ht="48" customHeight="1" thickBot="1">
      <c r="A8" s="147" t="s">
        <v>129</v>
      </c>
      <c r="B8" s="147" t="s">
        <v>130</v>
      </c>
      <c r="C8" s="148" t="s">
        <v>131</v>
      </c>
      <c r="D8" s="147" t="s">
        <v>132</v>
      </c>
      <c r="E8" s="147" t="s">
        <v>133</v>
      </c>
      <c r="F8" s="171" t="s">
        <v>578</v>
      </c>
      <c r="G8" s="147" t="s">
        <v>134</v>
      </c>
      <c r="H8" s="147" t="s">
        <v>135</v>
      </c>
      <c r="I8" s="149" t="s">
        <v>56</v>
      </c>
      <c r="J8" s="147" t="s">
        <v>136</v>
      </c>
      <c r="K8" s="147" t="s">
        <v>137</v>
      </c>
    </row>
    <row r="9" spans="1:11" ht="15" thickBot="1">
      <c r="A9" s="128" t="str">
        <f>Mapping!M46</f>
        <v>7D64</v>
      </c>
      <c r="B9" s="128">
        <v>0</v>
      </c>
      <c r="C9" s="120" t="s">
        <v>140</v>
      </c>
      <c r="D9" s="314" t="s">
        <v>138</v>
      </c>
      <c r="E9" s="340" t="s">
        <v>139</v>
      </c>
      <c r="F9" s="112" t="s">
        <v>579</v>
      </c>
      <c r="G9" s="115" t="s">
        <v>436</v>
      </c>
      <c r="H9" s="114" t="s">
        <v>435</v>
      </c>
      <c r="I9" s="114"/>
      <c r="J9" s="116"/>
      <c r="K9" s="116"/>
    </row>
    <row r="10" spans="1:11" ht="15" thickBot="1">
      <c r="A10" s="128" t="str">
        <f>DEC2HEX(HEX2DEC($A9)+1)</f>
        <v>7D65</v>
      </c>
      <c r="B10" s="128">
        <f>$B9+1</f>
        <v>1</v>
      </c>
      <c r="C10" s="120" t="s">
        <v>140</v>
      </c>
      <c r="D10" s="324"/>
      <c r="E10" s="338"/>
      <c r="F10" s="112">
        <v>55</v>
      </c>
      <c r="G10" s="115" t="s">
        <v>437</v>
      </c>
      <c r="H10" s="114" t="s">
        <v>438</v>
      </c>
      <c r="I10" s="151"/>
      <c r="J10" s="116"/>
      <c r="K10" s="116"/>
    </row>
    <row r="11" spans="1:11" ht="15" thickBot="1">
      <c r="A11" s="128" t="str">
        <f>DEC2HEX(HEX2DEC($A10)+1)</f>
        <v>7D66</v>
      </c>
      <c r="B11" s="128">
        <f>$B10+1</f>
        <v>2</v>
      </c>
      <c r="C11" s="120" t="s">
        <v>140</v>
      </c>
      <c r="D11" s="324"/>
      <c r="E11" s="338"/>
      <c r="F11" s="130" t="s">
        <v>580</v>
      </c>
      <c r="G11" s="115" t="s">
        <v>141</v>
      </c>
      <c r="H11" s="151" t="s">
        <v>142</v>
      </c>
      <c r="I11" s="151"/>
      <c r="J11" s="116"/>
      <c r="K11" s="116"/>
    </row>
    <row r="12" spans="1:11" ht="15" thickBot="1">
      <c r="A12" s="128" t="str">
        <f>DEC2HEX(HEX2DEC($A11)+1)</f>
        <v>7D67</v>
      </c>
      <c r="B12" s="128">
        <f>$B11+1</f>
        <v>3</v>
      </c>
      <c r="C12" s="120" t="s">
        <v>140</v>
      </c>
      <c r="D12" s="324"/>
      <c r="E12" s="338"/>
      <c r="F12" s="112" t="str">
        <f>DEC2HEX(HEX2DEC(A159)-HEX2DEC(A9))</f>
        <v>88</v>
      </c>
      <c r="G12" s="117" t="s">
        <v>143</v>
      </c>
      <c r="H12" s="151" t="str">
        <f>CONCATENATE("Calculated to be ",HEX2DEC(A159)-HEX2DEC(A9))</f>
        <v>Calculated to be 136</v>
      </c>
      <c r="I12" s="151"/>
      <c r="J12" s="116"/>
      <c r="K12" s="116"/>
    </row>
    <row r="13" spans="1:11" ht="39.5" thickBot="1">
      <c r="A13" s="335" t="str">
        <f>DEC2HEX(HEX2DEC($A12)+1)</f>
        <v>7D68</v>
      </c>
      <c r="B13" s="335">
        <f>B12+1</f>
        <v>4</v>
      </c>
      <c r="C13" s="130" t="s">
        <v>144</v>
      </c>
      <c r="D13" s="338"/>
      <c r="E13" s="341" t="s">
        <v>417</v>
      </c>
      <c r="F13" s="318" t="s">
        <v>581</v>
      </c>
      <c r="G13" s="118" t="s">
        <v>372</v>
      </c>
      <c r="H13" s="152" t="s">
        <v>362</v>
      </c>
      <c r="I13" s="152" t="s">
        <v>145</v>
      </c>
      <c r="J13" s="118" t="s">
        <v>100</v>
      </c>
      <c r="K13" s="118" t="s">
        <v>62</v>
      </c>
    </row>
    <row r="14" spans="1:11" ht="26.5" thickBot="1">
      <c r="A14" s="336"/>
      <c r="B14" s="336"/>
      <c r="C14" s="130" t="s">
        <v>144</v>
      </c>
      <c r="D14" s="338"/>
      <c r="E14" s="342"/>
      <c r="F14" s="319"/>
      <c r="G14" s="358" t="s">
        <v>746</v>
      </c>
      <c r="H14" s="359" t="s">
        <v>745</v>
      </c>
      <c r="I14" s="360" t="s">
        <v>749</v>
      </c>
      <c r="J14" s="116" t="s">
        <v>100</v>
      </c>
      <c r="K14" s="116" t="s">
        <v>62</v>
      </c>
    </row>
    <row r="15" spans="1:11" ht="52.5" thickBot="1">
      <c r="A15" s="336"/>
      <c r="B15" s="336"/>
      <c r="C15" s="131" t="s">
        <v>144</v>
      </c>
      <c r="D15" s="338"/>
      <c r="E15" s="342"/>
      <c r="F15" s="319"/>
      <c r="G15" s="361" t="s">
        <v>747</v>
      </c>
      <c r="H15" s="362" t="s">
        <v>748</v>
      </c>
      <c r="I15" s="362" t="s">
        <v>750</v>
      </c>
      <c r="J15" s="116" t="s">
        <v>100</v>
      </c>
      <c r="K15" s="116" t="s">
        <v>62</v>
      </c>
    </row>
    <row r="16" spans="1:11" ht="52.5" thickBot="1">
      <c r="A16" s="336"/>
      <c r="B16" s="336"/>
      <c r="C16" s="120" t="s">
        <v>146</v>
      </c>
      <c r="D16" s="338"/>
      <c r="E16" s="342"/>
      <c r="F16" s="319"/>
      <c r="G16" s="116" t="s">
        <v>147</v>
      </c>
      <c r="H16" s="114" t="s">
        <v>751</v>
      </c>
      <c r="I16" s="114" t="s">
        <v>389</v>
      </c>
      <c r="J16" s="116" t="s">
        <v>100</v>
      </c>
      <c r="K16" s="116" t="s">
        <v>62</v>
      </c>
    </row>
    <row r="17" spans="1:11" ht="26.5" thickBot="1">
      <c r="A17" s="336"/>
      <c r="B17" s="336"/>
      <c r="C17" s="120" t="s">
        <v>144</v>
      </c>
      <c r="D17" s="338"/>
      <c r="E17" s="342"/>
      <c r="F17" s="319"/>
      <c r="G17" s="118" t="s">
        <v>148</v>
      </c>
      <c r="H17" s="157" t="s">
        <v>149</v>
      </c>
      <c r="I17" s="121" t="s">
        <v>150</v>
      </c>
      <c r="J17" s="116" t="s">
        <v>100</v>
      </c>
      <c r="K17" s="116" t="s">
        <v>62</v>
      </c>
    </row>
    <row r="18" spans="1:11" ht="26.5" thickBot="1">
      <c r="A18" s="336"/>
      <c r="B18" s="336"/>
      <c r="C18" s="120" t="s">
        <v>144</v>
      </c>
      <c r="D18" s="338"/>
      <c r="E18" s="342"/>
      <c r="F18" s="319"/>
      <c r="G18" s="118" t="s">
        <v>415</v>
      </c>
      <c r="H18" s="113" t="s">
        <v>416</v>
      </c>
      <c r="I18" s="121"/>
      <c r="J18" s="116" t="s">
        <v>100</v>
      </c>
      <c r="K18" s="116" t="s">
        <v>62</v>
      </c>
    </row>
    <row r="19" spans="1:11" ht="15" thickBot="1">
      <c r="A19" s="337"/>
      <c r="B19" s="337"/>
      <c r="C19" s="120" t="s">
        <v>144</v>
      </c>
      <c r="D19" s="338"/>
      <c r="E19" s="343"/>
      <c r="F19" s="320"/>
      <c r="G19" s="116" t="s">
        <v>154</v>
      </c>
      <c r="H19" s="114" t="s">
        <v>155</v>
      </c>
      <c r="I19" s="114" t="s">
        <v>156</v>
      </c>
      <c r="J19" s="116" t="s">
        <v>100</v>
      </c>
      <c r="K19" s="116" t="s">
        <v>62</v>
      </c>
    </row>
    <row r="20" spans="1:11" ht="15" thickBot="1">
      <c r="A20" s="330" t="str">
        <f>DEC2HEX(HEX2DEC($A13)+1)</f>
        <v>7D69</v>
      </c>
      <c r="B20" s="330">
        <f>$B13+1</f>
        <v>5</v>
      </c>
      <c r="C20" s="126" t="s">
        <v>153</v>
      </c>
      <c r="D20" s="324"/>
      <c r="E20" s="324" t="s">
        <v>418</v>
      </c>
      <c r="F20" s="318" t="s">
        <v>581</v>
      </c>
      <c r="G20" s="116" t="s">
        <v>379</v>
      </c>
      <c r="H20" s="123" t="s">
        <v>359</v>
      </c>
      <c r="I20" s="114" t="s">
        <v>152</v>
      </c>
      <c r="J20" s="116" t="s">
        <v>100</v>
      </c>
      <c r="K20" s="116" t="s">
        <v>62</v>
      </c>
    </row>
    <row r="21" spans="1:11" ht="26.5" thickBot="1">
      <c r="A21" s="330"/>
      <c r="B21" s="330"/>
      <c r="C21" s="126" t="s">
        <v>144</v>
      </c>
      <c r="D21" s="324"/>
      <c r="E21" s="315"/>
      <c r="F21" s="320"/>
      <c r="G21" s="119" t="s">
        <v>157</v>
      </c>
      <c r="H21" s="158" t="s">
        <v>752</v>
      </c>
      <c r="I21" s="159" t="s">
        <v>152</v>
      </c>
      <c r="J21" s="119" t="s">
        <v>100</v>
      </c>
      <c r="K21" s="119" t="s">
        <v>62</v>
      </c>
    </row>
    <row r="22" spans="1:11" ht="15" thickBot="1">
      <c r="A22" s="163" t="str">
        <f>DEC2HEX(HEX2DEC($A20)+1)</f>
        <v>7D6A</v>
      </c>
      <c r="B22" s="163">
        <f>$B20+1</f>
        <v>6</v>
      </c>
      <c r="C22" s="126" t="s">
        <v>140</v>
      </c>
      <c r="D22" s="324"/>
      <c r="E22" s="160" t="s">
        <v>419</v>
      </c>
      <c r="F22" s="179" t="s">
        <v>581</v>
      </c>
      <c r="G22" s="118" t="s">
        <v>373</v>
      </c>
      <c r="H22" s="157" t="s">
        <v>158</v>
      </c>
      <c r="I22" s="121" t="s">
        <v>361</v>
      </c>
      <c r="J22" s="132" t="s">
        <v>100</v>
      </c>
      <c r="K22" s="133" t="s">
        <v>62</v>
      </c>
    </row>
    <row r="23" spans="1:11" ht="55.5" customHeight="1" thickBot="1">
      <c r="A23" s="335" t="str">
        <f>DEC2HEX(HEX2DEC($A22)+1)</f>
        <v>7D6B</v>
      </c>
      <c r="B23" s="335">
        <f>$B22+1</f>
        <v>7</v>
      </c>
      <c r="C23" s="126" t="s">
        <v>151</v>
      </c>
      <c r="D23" s="338"/>
      <c r="E23" s="341" t="s">
        <v>420</v>
      </c>
      <c r="F23" s="318" t="s">
        <v>581</v>
      </c>
      <c r="G23" s="118" t="s">
        <v>738</v>
      </c>
      <c r="H23" s="134" t="s">
        <v>737</v>
      </c>
      <c r="I23" s="113" t="s">
        <v>704</v>
      </c>
      <c r="J23" s="118" t="s">
        <v>100</v>
      </c>
      <c r="K23" s="118" t="s">
        <v>62</v>
      </c>
    </row>
    <row r="24" spans="1:11" ht="65.5" thickBot="1">
      <c r="A24" s="336"/>
      <c r="B24" s="336"/>
      <c r="C24" s="120" t="s">
        <v>374</v>
      </c>
      <c r="D24" s="338"/>
      <c r="E24" s="343"/>
      <c r="F24" s="320"/>
      <c r="G24" s="116" t="s">
        <v>381</v>
      </c>
      <c r="H24" s="114" t="s">
        <v>376</v>
      </c>
      <c r="I24" s="113" t="s">
        <v>159</v>
      </c>
      <c r="J24" s="116" t="s">
        <v>100</v>
      </c>
      <c r="K24" s="116" t="s">
        <v>62</v>
      </c>
    </row>
    <row r="25" spans="1:11" ht="139.25" customHeight="1" thickBot="1">
      <c r="A25" s="335" t="str">
        <f>DEC2HEX(HEX2DEC($A23)+1)</f>
        <v>7D6C</v>
      </c>
      <c r="B25" s="335">
        <f>$B23+1</f>
        <v>8</v>
      </c>
      <c r="C25" s="126" t="s">
        <v>151</v>
      </c>
      <c r="D25" s="324"/>
      <c r="E25" s="344" t="s">
        <v>421</v>
      </c>
      <c r="F25" s="321" t="s">
        <v>580</v>
      </c>
      <c r="G25" s="110" t="s">
        <v>161</v>
      </c>
      <c r="H25" s="153" t="s">
        <v>363</v>
      </c>
      <c r="I25" s="152" t="s">
        <v>159</v>
      </c>
      <c r="J25" s="118" t="s">
        <v>100</v>
      </c>
      <c r="K25" s="118" t="s">
        <v>62</v>
      </c>
    </row>
    <row r="26" spans="1:11" s="122" customFormat="1" ht="65.5" thickBot="1">
      <c r="A26" s="337"/>
      <c r="B26" s="337"/>
      <c r="C26" s="127" t="s">
        <v>146</v>
      </c>
      <c r="D26" s="324"/>
      <c r="E26" s="345"/>
      <c r="F26" s="322"/>
      <c r="G26" s="128" t="s">
        <v>162</v>
      </c>
      <c r="H26" s="134" t="s">
        <v>390</v>
      </c>
      <c r="I26" s="114" t="s">
        <v>163</v>
      </c>
      <c r="J26" s="116"/>
      <c r="K26" s="116"/>
    </row>
    <row r="27" spans="1:11" ht="15" thickBot="1">
      <c r="A27" s="331" t="str">
        <f>DEC2HEX(HEX2DEC($A25)+1)</f>
        <v>7D6D</v>
      </c>
      <c r="B27" s="331">
        <f>$B25+1</f>
        <v>9</v>
      </c>
      <c r="C27" s="127" t="s">
        <v>144</v>
      </c>
      <c r="D27" s="324"/>
      <c r="E27" s="344" t="s">
        <v>422</v>
      </c>
      <c r="F27" s="321" t="s">
        <v>582</v>
      </c>
      <c r="G27" s="128" t="s">
        <v>368</v>
      </c>
      <c r="H27" s="114" t="s">
        <v>164</v>
      </c>
      <c r="I27" s="114"/>
      <c r="J27" s="116"/>
      <c r="K27" s="116"/>
    </row>
    <row r="28" spans="1:11" ht="15" thickBot="1">
      <c r="A28" s="332"/>
      <c r="B28" s="332"/>
      <c r="C28" s="127" t="s">
        <v>144</v>
      </c>
      <c r="D28" s="324"/>
      <c r="E28" s="346"/>
      <c r="F28" s="323"/>
      <c r="G28" s="128" t="s">
        <v>165</v>
      </c>
      <c r="H28" s="114" t="s">
        <v>166</v>
      </c>
      <c r="I28" s="114" t="s">
        <v>375</v>
      </c>
      <c r="J28" s="116"/>
      <c r="K28" s="116"/>
    </row>
    <row r="29" spans="1:11" ht="15" thickBot="1">
      <c r="A29" s="333"/>
      <c r="B29" s="333"/>
      <c r="C29" s="127" t="s">
        <v>144</v>
      </c>
      <c r="D29" s="324"/>
      <c r="E29" s="346"/>
      <c r="F29" s="323"/>
      <c r="G29" s="128" t="s">
        <v>168</v>
      </c>
      <c r="H29" s="114" t="s">
        <v>169</v>
      </c>
      <c r="I29" s="114" t="s">
        <v>364</v>
      </c>
      <c r="J29" s="116"/>
      <c r="K29" s="116"/>
    </row>
    <row r="30" spans="1:11" ht="52.5" thickBot="1">
      <c r="A30" s="333"/>
      <c r="B30" s="333"/>
      <c r="C30" s="127" t="s">
        <v>144</v>
      </c>
      <c r="D30" s="324"/>
      <c r="E30" s="346"/>
      <c r="F30" s="323"/>
      <c r="G30" s="128" t="s">
        <v>170</v>
      </c>
      <c r="H30" s="114" t="s">
        <v>171</v>
      </c>
      <c r="I30" s="114" t="s">
        <v>365</v>
      </c>
      <c r="J30" s="116"/>
      <c r="K30" s="116"/>
    </row>
    <row r="31" spans="1:11" ht="26.5" thickBot="1">
      <c r="A31" s="333"/>
      <c r="B31" s="333"/>
      <c r="C31" s="127" t="s">
        <v>146</v>
      </c>
      <c r="D31" s="324"/>
      <c r="E31" s="346"/>
      <c r="F31" s="323"/>
      <c r="G31" s="128" t="s">
        <v>172</v>
      </c>
      <c r="H31" s="114" t="s">
        <v>391</v>
      </c>
      <c r="I31" s="114" t="s">
        <v>380</v>
      </c>
      <c r="J31" s="116"/>
      <c r="K31" s="116"/>
    </row>
    <row r="32" spans="1:11" ht="26.5" thickBot="1">
      <c r="A32" s="334"/>
      <c r="B32" s="334"/>
      <c r="C32" s="127" t="s">
        <v>173</v>
      </c>
      <c r="D32" s="324"/>
      <c r="E32" s="345"/>
      <c r="F32" s="322"/>
      <c r="G32" s="144" t="s">
        <v>174</v>
      </c>
      <c r="H32" s="137" t="s">
        <v>175</v>
      </c>
      <c r="I32" s="114" t="s">
        <v>366</v>
      </c>
      <c r="J32" s="116"/>
      <c r="K32" s="116"/>
    </row>
    <row r="33" spans="1:11" ht="130.5" thickBot="1">
      <c r="A33" s="164" t="str">
        <f>DEC2HEX(HEX2DEC($A27)+1)</f>
        <v>7D6E</v>
      </c>
      <c r="B33" s="166">
        <f>$B27+1</f>
        <v>10</v>
      </c>
      <c r="C33" s="120" t="s">
        <v>140</v>
      </c>
      <c r="D33" s="324"/>
      <c r="E33" s="125" t="s">
        <v>423</v>
      </c>
      <c r="F33" s="130" t="s">
        <v>583</v>
      </c>
      <c r="G33" s="112" t="s">
        <v>384</v>
      </c>
      <c r="H33" s="154" t="s">
        <v>753</v>
      </c>
      <c r="I33" s="123" t="s">
        <v>754</v>
      </c>
      <c r="J33" s="116"/>
      <c r="K33" s="116"/>
    </row>
    <row r="34" spans="1:11" ht="52.5" thickBot="1">
      <c r="A34" s="165" t="str">
        <f>DEC2HEX(HEX2DEC($A33)+1)</f>
        <v>7D6F</v>
      </c>
      <c r="B34" s="166">
        <f t="shared" ref="B34:B41" si="0">$B33+1</f>
        <v>11</v>
      </c>
      <c r="C34" s="120" t="s">
        <v>140</v>
      </c>
      <c r="D34" s="324"/>
      <c r="E34" s="125" t="s">
        <v>424</v>
      </c>
      <c r="F34" s="130" t="s">
        <v>581</v>
      </c>
      <c r="G34" s="112" t="s">
        <v>176</v>
      </c>
      <c r="H34" s="113" t="s">
        <v>177</v>
      </c>
      <c r="I34" s="114" t="s">
        <v>392</v>
      </c>
      <c r="J34" s="116"/>
      <c r="K34" s="116"/>
    </row>
    <row r="35" spans="1:11" ht="52.5" thickBot="1">
      <c r="A35" s="165" t="str">
        <f>DEC2HEX(HEX2DEC($A34)+1)</f>
        <v>7D70</v>
      </c>
      <c r="B35" s="166">
        <f t="shared" si="0"/>
        <v>12</v>
      </c>
      <c r="C35" s="120" t="s">
        <v>140</v>
      </c>
      <c r="D35" s="324"/>
      <c r="E35" s="125" t="s">
        <v>425</v>
      </c>
      <c r="F35" s="130" t="s">
        <v>581</v>
      </c>
      <c r="G35" s="112" t="s">
        <v>369</v>
      </c>
      <c r="H35" s="113" t="s">
        <v>179</v>
      </c>
      <c r="I35" s="114" t="s">
        <v>178</v>
      </c>
      <c r="J35" s="116"/>
      <c r="K35" s="116"/>
    </row>
    <row r="36" spans="1:11" ht="52.5" thickBot="1">
      <c r="A36" s="165" t="str">
        <f>DEC2HEX(HEX2DEC($A35)+1)</f>
        <v>7D71</v>
      </c>
      <c r="B36" s="166">
        <f t="shared" si="0"/>
        <v>13</v>
      </c>
      <c r="C36" s="120" t="s">
        <v>140</v>
      </c>
      <c r="D36" s="324"/>
      <c r="E36" s="125" t="s">
        <v>426</v>
      </c>
      <c r="F36" s="130" t="s">
        <v>581</v>
      </c>
      <c r="G36" s="112" t="s">
        <v>180</v>
      </c>
      <c r="H36" s="113" t="s">
        <v>181</v>
      </c>
      <c r="I36" s="114" t="s">
        <v>178</v>
      </c>
      <c r="J36" s="116"/>
      <c r="K36" s="116"/>
    </row>
    <row r="37" spans="1:11" ht="15" thickBot="1">
      <c r="A37" s="165" t="str">
        <f t="shared" ref="A37:A100" si="1">DEC2HEX(HEX2DEC($A36)+1)</f>
        <v>7D72</v>
      </c>
      <c r="B37" s="166">
        <f t="shared" si="0"/>
        <v>14</v>
      </c>
      <c r="C37" s="120" t="s">
        <v>140</v>
      </c>
      <c r="D37" s="324"/>
      <c r="E37" s="125" t="s">
        <v>427</v>
      </c>
      <c r="F37" s="130" t="s">
        <v>581</v>
      </c>
      <c r="G37" s="112" t="s">
        <v>431</v>
      </c>
      <c r="H37" s="113" t="s">
        <v>182</v>
      </c>
      <c r="I37" s="114"/>
      <c r="J37" s="116"/>
      <c r="K37" s="116"/>
    </row>
    <row r="38" spans="1:11" ht="15" thickBot="1">
      <c r="A38" s="165" t="str">
        <f t="shared" si="1"/>
        <v>7D73</v>
      </c>
      <c r="B38" s="166">
        <f t="shared" si="0"/>
        <v>15</v>
      </c>
      <c r="C38" s="120" t="s">
        <v>140</v>
      </c>
      <c r="D38" s="324"/>
      <c r="E38" s="125" t="s">
        <v>428</v>
      </c>
      <c r="F38" s="130" t="s">
        <v>581</v>
      </c>
      <c r="G38" s="112" t="s">
        <v>432</v>
      </c>
      <c r="H38" s="113" t="s">
        <v>182</v>
      </c>
      <c r="I38" s="114"/>
      <c r="J38" s="116"/>
      <c r="K38" s="116"/>
    </row>
    <row r="39" spans="1:11" ht="15" thickBot="1">
      <c r="A39" s="165" t="str">
        <f t="shared" si="1"/>
        <v>7D74</v>
      </c>
      <c r="B39" s="166">
        <f t="shared" si="0"/>
        <v>16</v>
      </c>
      <c r="C39" s="120" t="s">
        <v>140</v>
      </c>
      <c r="D39" s="324"/>
      <c r="E39" s="125" t="s">
        <v>429</v>
      </c>
      <c r="F39" s="130" t="s">
        <v>581</v>
      </c>
      <c r="G39" s="112" t="s">
        <v>433</v>
      </c>
      <c r="H39" s="113" t="s">
        <v>182</v>
      </c>
      <c r="I39" s="114"/>
      <c r="J39" s="116"/>
      <c r="K39" s="116"/>
    </row>
    <row r="40" spans="1:11" ht="15" thickBot="1">
      <c r="A40" s="165" t="str">
        <f t="shared" si="1"/>
        <v>7D75</v>
      </c>
      <c r="B40" s="166">
        <f t="shared" si="0"/>
        <v>17</v>
      </c>
      <c r="C40" s="120" t="s">
        <v>140</v>
      </c>
      <c r="D40" s="324"/>
      <c r="E40" s="125" t="s">
        <v>430</v>
      </c>
      <c r="F40" s="130" t="s">
        <v>581</v>
      </c>
      <c r="G40" s="112" t="s">
        <v>434</v>
      </c>
      <c r="H40" s="113" t="s">
        <v>182</v>
      </c>
      <c r="I40" s="114"/>
      <c r="J40" s="116"/>
      <c r="K40" s="116"/>
    </row>
    <row r="41" spans="1:11" ht="60" customHeight="1" thickBot="1">
      <c r="A41" s="165" t="str">
        <f t="shared" si="1"/>
        <v>7D76</v>
      </c>
      <c r="B41" s="166">
        <f t="shared" si="0"/>
        <v>18</v>
      </c>
      <c r="C41" s="120" t="s">
        <v>140</v>
      </c>
      <c r="D41" s="324"/>
      <c r="E41" s="125" t="s">
        <v>440</v>
      </c>
      <c r="F41" s="130" t="s">
        <v>584</v>
      </c>
      <c r="G41" s="314" t="s">
        <v>183</v>
      </c>
      <c r="H41" s="316" t="s">
        <v>184</v>
      </c>
      <c r="I41" s="314" t="s">
        <v>393</v>
      </c>
      <c r="J41" s="116"/>
      <c r="K41" s="116"/>
    </row>
    <row r="42" spans="1:11" ht="60" customHeight="1" thickBot="1">
      <c r="A42" s="165" t="str">
        <f t="shared" si="1"/>
        <v>7D77</v>
      </c>
      <c r="B42" s="166">
        <f t="shared" ref="B42:B68" si="2">$B41+1</f>
        <v>19</v>
      </c>
      <c r="C42" s="120" t="s">
        <v>140</v>
      </c>
      <c r="D42" s="324"/>
      <c r="E42" s="125" t="s">
        <v>439</v>
      </c>
      <c r="F42" s="130" t="s">
        <v>585</v>
      </c>
      <c r="G42" s="315"/>
      <c r="H42" s="317"/>
      <c r="I42" s="315"/>
      <c r="J42" s="116"/>
      <c r="K42" s="116"/>
    </row>
    <row r="43" spans="1:11" ht="76.75" customHeight="1" thickBot="1">
      <c r="A43" s="165" t="str">
        <f t="shared" si="1"/>
        <v>7D78</v>
      </c>
      <c r="B43" s="166">
        <f t="shared" si="2"/>
        <v>20</v>
      </c>
      <c r="C43" s="120" t="s">
        <v>140</v>
      </c>
      <c r="D43" s="324"/>
      <c r="E43" s="125" t="s">
        <v>441</v>
      </c>
      <c r="F43" s="130" t="s">
        <v>586</v>
      </c>
      <c r="G43" s="314" t="s">
        <v>186</v>
      </c>
      <c r="H43" s="316" t="s">
        <v>187</v>
      </c>
      <c r="I43" s="314" t="s">
        <v>394</v>
      </c>
      <c r="J43" s="116"/>
      <c r="K43" s="116"/>
    </row>
    <row r="44" spans="1:11" ht="15" thickBot="1">
      <c r="A44" s="165" t="str">
        <f t="shared" si="1"/>
        <v>7D79</v>
      </c>
      <c r="B44" s="166">
        <f t="shared" si="2"/>
        <v>21</v>
      </c>
      <c r="C44" s="120" t="s">
        <v>140</v>
      </c>
      <c r="D44" s="324"/>
      <c r="E44" s="125" t="s">
        <v>442</v>
      </c>
      <c r="F44" s="130" t="s">
        <v>587</v>
      </c>
      <c r="G44" s="315"/>
      <c r="H44" s="317"/>
      <c r="I44" s="315"/>
      <c r="J44" s="116"/>
      <c r="K44" s="116"/>
    </row>
    <row r="45" spans="1:11" ht="26.25" customHeight="1" thickBot="1">
      <c r="A45" s="165" t="str">
        <f t="shared" si="1"/>
        <v>7D7A</v>
      </c>
      <c r="B45" s="166">
        <f t="shared" si="2"/>
        <v>22</v>
      </c>
      <c r="C45" s="120" t="s">
        <v>140</v>
      </c>
      <c r="D45" s="324"/>
      <c r="E45" s="125" t="s">
        <v>443</v>
      </c>
      <c r="F45" s="130" t="s">
        <v>588</v>
      </c>
      <c r="G45" s="314" t="s">
        <v>188</v>
      </c>
      <c r="H45" s="316" t="s">
        <v>189</v>
      </c>
      <c r="I45" s="314" t="s">
        <v>185</v>
      </c>
      <c r="J45" s="116"/>
      <c r="K45" s="116"/>
    </row>
    <row r="46" spans="1:11" ht="15" thickBot="1">
      <c r="A46" s="165" t="str">
        <f t="shared" si="1"/>
        <v>7D7B</v>
      </c>
      <c r="B46" s="166">
        <f t="shared" si="2"/>
        <v>23</v>
      </c>
      <c r="C46" s="120" t="s">
        <v>140</v>
      </c>
      <c r="D46" s="324"/>
      <c r="E46" s="125" t="s">
        <v>444</v>
      </c>
      <c r="F46" s="130" t="s">
        <v>581</v>
      </c>
      <c r="G46" s="315"/>
      <c r="H46" s="317"/>
      <c r="I46" s="315"/>
      <c r="J46" s="116"/>
      <c r="K46" s="116"/>
    </row>
    <row r="47" spans="1:11" ht="26.25" customHeight="1" thickBot="1">
      <c r="A47" s="165" t="str">
        <f t="shared" si="1"/>
        <v>7D7C</v>
      </c>
      <c r="B47" s="166">
        <f t="shared" si="2"/>
        <v>24</v>
      </c>
      <c r="C47" s="120" t="s">
        <v>140</v>
      </c>
      <c r="D47" s="324"/>
      <c r="E47" s="125" t="s">
        <v>445</v>
      </c>
      <c r="F47" s="130" t="s">
        <v>589</v>
      </c>
      <c r="G47" s="314" t="s">
        <v>190</v>
      </c>
      <c r="H47" s="316" t="s">
        <v>191</v>
      </c>
      <c r="I47" s="314" t="s">
        <v>185</v>
      </c>
      <c r="J47" s="116"/>
      <c r="K47" s="116"/>
    </row>
    <row r="48" spans="1:11" ht="15" thickBot="1">
      <c r="A48" s="165" t="str">
        <f t="shared" si="1"/>
        <v>7D7D</v>
      </c>
      <c r="B48" s="166">
        <f t="shared" si="2"/>
        <v>25</v>
      </c>
      <c r="C48" s="120" t="s">
        <v>140</v>
      </c>
      <c r="D48" s="324"/>
      <c r="E48" s="125" t="s">
        <v>446</v>
      </c>
      <c r="F48" s="130" t="s">
        <v>590</v>
      </c>
      <c r="G48" s="315"/>
      <c r="H48" s="317"/>
      <c r="I48" s="315"/>
      <c r="J48" s="116"/>
      <c r="K48" s="116"/>
    </row>
    <row r="49" spans="1:11" ht="51.75" customHeight="1" thickBot="1">
      <c r="A49" s="165" t="str">
        <f t="shared" si="1"/>
        <v>7D7E</v>
      </c>
      <c r="B49" s="166">
        <f t="shared" si="2"/>
        <v>26</v>
      </c>
      <c r="C49" s="120" t="s">
        <v>140</v>
      </c>
      <c r="D49" s="324"/>
      <c r="E49" s="125" t="s">
        <v>447</v>
      </c>
      <c r="F49" s="130" t="s">
        <v>591</v>
      </c>
      <c r="G49" s="314" t="s">
        <v>192</v>
      </c>
      <c r="H49" s="316" t="s">
        <v>193</v>
      </c>
      <c r="I49" s="314" t="s">
        <v>395</v>
      </c>
      <c r="J49" s="116"/>
      <c r="K49" s="116"/>
    </row>
    <row r="50" spans="1:11" ht="15" thickBot="1">
      <c r="A50" s="165" t="str">
        <f t="shared" si="1"/>
        <v>7D7F</v>
      </c>
      <c r="B50" s="166">
        <f t="shared" si="2"/>
        <v>27</v>
      </c>
      <c r="C50" s="120" t="s">
        <v>140</v>
      </c>
      <c r="D50" s="324"/>
      <c r="E50" s="125" t="s">
        <v>448</v>
      </c>
      <c r="F50" s="130" t="s">
        <v>581</v>
      </c>
      <c r="G50" s="315"/>
      <c r="H50" s="317"/>
      <c r="I50" s="315"/>
      <c r="J50" s="116"/>
      <c r="K50" s="116"/>
    </row>
    <row r="51" spans="1:11" ht="26.25" customHeight="1" thickBot="1">
      <c r="A51" s="165" t="str">
        <f t="shared" si="1"/>
        <v>7D80</v>
      </c>
      <c r="B51" s="166">
        <f t="shared" si="2"/>
        <v>28</v>
      </c>
      <c r="C51" s="120" t="s">
        <v>140</v>
      </c>
      <c r="D51" s="324"/>
      <c r="E51" s="125" t="s">
        <v>449</v>
      </c>
      <c r="F51" s="130" t="s">
        <v>592</v>
      </c>
      <c r="G51" s="314" t="s">
        <v>194</v>
      </c>
      <c r="H51" s="316" t="s">
        <v>195</v>
      </c>
      <c r="I51" s="314" t="s">
        <v>185</v>
      </c>
      <c r="J51" s="116"/>
      <c r="K51" s="116"/>
    </row>
    <row r="52" spans="1:11" ht="15" thickBot="1">
      <c r="A52" s="165" t="str">
        <f t="shared" si="1"/>
        <v>7D81</v>
      </c>
      <c r="B52" s="166">
        <f t="shared" si="2"/>
        <v>29</v>
      </c>
      <c r="C52" s="120" t="s">
        <v>140</v>
      </c>
      <c r="D52" s="324"/>
      <c r="E52" s="125" t="s">
        <v>450</v>
      </c>
      <c r="F52" s="130" t="s">
        <v>593</v>
      </c>
      <c r="G52" s="315"/>
      <c r="H52" s="317"/>
      <c r="I52" s="315"/>
      <c r="J52" s="116"/>
      <c r="K52" s="116"/>
    </row>
    <row r="53" spans="1:11" ht="26.25" customHeight="1" thickBot="1">
      <c r="A53" s="165" t="str">
        <f t="shared" si="1"/>
        <v>7D82</v>
      </c>
      <c r="B53" s="166">
        <f t="shared" si="2"/>
        <v>30</v>
      </c>
      <c r="C53" s="120" t="s">
        <v>140</v>
      </c>
      <c r="D53" s="324"/>
      <c r="E53" s="125" t="s">
        <v>451</v>
      </c>
      <c r="F53" s="130" t="s">
        <v>594</v>
      </c>
      <c r="G53" s="314" t="s">
        <v>196</v>
      </c>
      <c r="H53" s="316" t="s">
        <v>197</v>
      </c>
      <c r="I53" s="314" t="s">
        <v>185</v>
      </c>
      <c r="J53" s="116"/>
      <c r="K53" s="116"/>
    </row>
    <row r="54" spans="1:11" ht="15" thickBot="1">
      <c r="A54" s="165" t="str">
        <f t="shared" si="1"/>
        <v>7D83</v>
      </c>
      <c r="B54" s="166">
        <f t="shared" si="2"/>
        <v>31</v>
      </c>
      <c r="C54" s="120" t="s">
        <v>140</v>
      </c>
      <c r="D54" s="324"/>
      <c r="E54" s="125" t="s">
        <v>452</v>
      </c>
      <c r="F54" s="130" t="s">
        <v>581</v>
      </c>
      <c r="G54" s="315"/>
      <c r="H54" s="317"/>
      <c r="I54" s="315"/>
      <c r="J54" s="116"/>
      <c r="K54" s="116"/>
    </row>
    <row r="55" spans="1:11" ht="26.25" customHeight="1" thickBot="1">
      <c r="A55" s="165" t="str">
        <f t="shared" si="1"/>
        <v>7D84</v>
      </c>
      <c r="B55" s="166">
        <f t="shared" si="2"/>
        <v>32</v>
      </c>
      <c r="C55" s="120" t="s">
        <v>140</v>
      </c>
      <c r="D55" s="324"/>
      <c r="E55" s="125" t="s">
        <v>453</v>
      </c>
      <c r="F55" s="130" t="s">
        <v>595</v>
      </c>
      <c r="G55" s="314" t="s">
        <v>198</v>
      </c>
      <c r="H55" s="316" t="s">
        <v>199</v>
      </c>
      <c r="I55" s="314" t="s">
        <v>185</v>
      </c>
      <c r="J55" s="116"/>
      <c r="K55" s="116"/>
    </row>
    <row r="56" spans="1:11" ht="15" thickBot="1">
      <c r="A56" s="165" t="str">
        <f t="shared" si="1"/>
        <v>7D85</v>
      </c>
      <c r="B56" s="166">
        <f t="shared" si="2"/>
        <v>33</v>
      </c>
      <c r="C56" s="120" t="s">
        <v>140</v>
      </c>
      <c r="D56" s="324"/>
      <c r="E56" s="125" t="s">
        <v>454</v>
      </c>
      <c r="F56" s="130" t="s">
        <v>593</v>
      </c>
      <c r="G56" s="315"/>
      <c r="H56" s="317"/>
      <c r="I56" s="315"/>
      <c r="J56" s="116"/>
      <c r="K56" s="116"/>
    </row>
    <row r="57" spans="1:11" ht="51.75" customHeight="1" thickBot="1">
      <c r="A57" s="165" t="str">
        <f t="shared" si="1"/>
        <v>7D86</v>
      </c>
      <c r="B57" s="166">
        <f t="shared" si="2"/>
        <v>34</v>
      </c>
      <c r="C57" s="120" t="s">
        <v>140</v>
      </c>
      <c r="D57" s="324"/>
      <c r="E57" s="125" t="s">
        <v>455</v>
      </c>
      <c r="F57" s="130" t="s">
        <v>585</v>
      </c>
      <c r="G57" s="314" t="s">
        <v>200</v>
      </c>
      <c r="H57" s="316" t="s">
        <v>201</v>
      </c>
      <c r="I57" s="314" t="s">
        <v>396</v>
      </c>
      <c r="J57" s="116"/>
      <c r="K57" s="116"/>
    </row>
    <row r="58" spans="1:11" ht="15" thickBot="1">
      <c r="A58" s="165" t="str">
        <f t="shared" si="1"/>
        <v>7D87</v>
      </c>
      <c r="B58" s="166">
        <f t="shared" si="2"/>
        <v>35</v>
      </c>
      <c r="C58" s="120" t="s">
        <v>140</v>
      </c>
      <c r="D58" s="324"/>
      <c r="E58" s="125" t="s">
        <v>456</v>
      </c>
      <c r="F58" s="130" t="s">
        <v>581</v>
      </c>
      <c r="G58" s="315"/>
      <c r="H58" s="317"/>
      <c r="I58" s="315"/>
      <c r="J58" s="116"/>
      <c r="K58" s="116"/>
    </row>
    <row r="59" spans="1:11" ht="65.5" thickBot="1">
      <c r="A59" s="165" t="str">
        <f t="shared" si="1"/>
        <v>7D88</v>
      </c>
      <c r="B59" s="166">
        <f t="shared" si="2"/>
        <v>36</v>
      </c>
      <c r="C59" s="120" t="s">
        <v>140</v>
      </c>
      <c r="D59" s="324"/>
      <c r="E59" s="161" t="s">
        <v>487</v>
      </c>
      <c r="F59" s="130" t="s">
        <v>596</v>
      </c>
      <c r="G59" s="112" t="s">
        <v>370</v>
      </c>
      <c r="H59" s="162" t="s">
        <v>202</v>
      </c>
      <c r="I59" s="114" t="s">
        <v>178</v>
      </c>
      <c r="J59" s="116"/>
      <c r="K59" s="116"/>
    </row>
    <row r="60" spans="1:11" ht="91.5" thickBot="1">
      <c r="A60" s="165" t="str">
        <f t="shared" si="1"/>
        <v>7D89</v>
      </c>
      <c r="B60" s="166">
        <f t="shared" si="2"/>
        <v>37</v>
      </c>
      <c r="C60" s="120" t="s">
        <v>140</v>
      </c>
      <c r="D60" s="324"/>
      <c r="E60" s="161" t="s">
        <v>488</v>
      </c>
      <c r="F60" s="130" t="s">
        <v>597</v>
      </c>
      <c r="G60" s="112" t="s">
        <v>203</v>
      </c>
      <c r="H60" s="162" t="s">
        <v>204</v>
      </c>
      <c r="I60" s="114" t="s">
        <v>178</v>
      </c>
      <c r="J60" s="116"/>
      <c r="K60" s="116"/>
    </row>
    <row r="61" spans="1:11" ht="15" thickBot="1">
      <c r="A61" s="165" t="str">
        <f t="shared" si="1"/>
        <v>7D8A</v>
      </c>
      <c r="B61" s="166">
        <f t="shared" si="2"/>
        <v>38</v>
      </c>
      <c r="C61" s="120" t="s">
        <v>140</v>
      </c>
      <c r="D61" s="324"/>
      <c r="E61" s="161" t="s">
        <v>457</v>
      </c>
      <c r="F61" s="130" t="s">
        <v>582</v>
      </c>
      <c r="G61" s="112" t="s">
        <v>205</v>
      </c>
      <c r="H61" s="162" t="s">
        <v>206</v>
      </c>
      <c r="I61" s="114" t="s">
        <v>207</v>
      </c>
      <c r="J61" s="116"/>
      <c r="K61" s="116"/>
    </row>
    <row r="62" spans="1:11" ht="15" thickBot="1">
      <c r="A62" s="165" t="str">
        <f t="shared" si="1"/>
        <v>7D8B</v>
      </c>
      <c r="B62" s="166">
        <f t="shared" si="2"/>
        <v>39</v>
      </c>
      <c r="C62" s="120" t="s">
        <v>140</v>
      </c>
      <c r="D62" s="324"/>
      <c r="E62" s="161" t="s">
        <v>458</v>
      </c>
      <c r="F62" s="130" t="s">
        <v>590</v>
      </c>
      <c r="G62" s="112" t="s">
        <v>208</v>
      </c>
      <c r="H62" s="162" t="s">
        <v>209</v>
      </c>
      <c r="I62" s="114" t="s">
        <v>397</v>
      </c>
      <c r="J62" s="116"/>
      <c r="K62" s="116"/>
    </row>
    <row r="63" spans="1:11" ht="15" thickBot="1">
      <c r="A63" s="165" t="str">
        <f t="shared" si="1"/>
        <v>7D8C</v>
      </c>
      <c r="B63" s="166">
        <f t="shared" si="2"/>
        <v>40</v>
      </c>
      <c r="C63" s="120" t="s">
        <v>140</v>
      </c>
      <c r="D63" s="324"/>
      <c r="E63" s="161" t="s">
        <v>459</v>
      </c>
      <c r="F63" s="130" t="s">
        <v>598</v>
      </c>
      <c r="G63" s="112" t="s">
        <v>210</v>
      </c>
      <c r="H63" s="162" t="s">
        <v>211</v>
      </c>
      <c r="I63" s="114" t="s">
        <v>398</v>
      </c>
      <c r="J63" s="116"/>
      <c r="K63" s="116"/>
    </row>
    <row r="64" spans="1:11" ht="15" thickBot="1">
      <c r="A64" s="165" t="str">
        <f t="shared" si="1"/>
        <v>7D8D</v>
      </c>
      <c r="B64" s="166">
        <f t="shared" si="2"/>
        <v>41</v>
      </c>
      <c r="C64" s="120" t="s">
        <v>140</v>
      </c>
      <c r="D64" s="324"/>
      <c r="E64" s="161" t="s">
        <v>460</v>
      </c>
      <c r="F64" s="130" t="s">
        <v>599</v>
      </c>
      <c r="G64" s="112" t="s">
        <v>212</v>
      </c>
      <c r="H64" s="162" t="s">
        <v>213</v>
      </c>
      <c r="I64" s="114" t="s">
        <v>214</v>
      </c>
      <c r="J64" s="116"/>
      <c r="K64" s="116"/>
    </row>
    <row r="65" spans="1:11" ht="15" thickBot="1">
      <c r="A65" s="165" t="str">
        <f t="shared" si="1"/>
        <v>7D8E</v>
      </c>
      <c r="B65" s="166">
        <f t="shared" si="2"/>
        <v>42</v>
      </c>
      <c r="C65" s="120" t="s">
        <v>140</v>
      </c>
      <c r="D65" s="324"/>
      <c r="E65" s="161" t="s">
        <v>461</v>
      </c>
      <c r="F65" s="130" t="s">
        <v>587</v>
      </c>
      <c r="G65" s="112" t="s">
        <v>215</v>
      </c>
      <c r="H65" s="162" t="s">
        <v>216</v>
      </c>
      <c r="I65" s="114" t="s">
        <v>217</v>
      </c>
      <c r="J65" s="116"/>
      <c r="K65" s="116"/>
    </row>
    <row r="66" spans="1:11" ht="15" thickBot="1">
      <c r="A66" s="165" t="str">
        <f t="shared" si="1"/>
        <v>7D8F</v>
      </c>
      <c r="B66" s="166">
        <f t="shared" si="2"/>
        <v>43</v>
      </c>
      <c r="C66" s="120" t="s">
        <v>140</v>
      </c>
      <c r="D66" s="324"/>
      <c r="E66" s="161" t="s">
        <v>462</v>
      </c>
      <c r="F66" s="130" t="s">
        <v>599</v>
      </c>
      <c r="G66" s="112" t="s">
        <v>218</v>
      </c>
      <c r="H66" s="162" t="s">
        <v>219</v>
      </c>
      <c r="I66" s="114" t="s">
        <v>220</v>
      </c>
      <c r="J66" s="116"/>
      <c r="K66" s="116"/>
    </row>
    <row r="67" spans="1:11" ht="15" thickBot="1">
      <c r="A67" s="165" t="str">
        <f t="shared" si="1"/>
        <v>7D90</v>
      </c>
      <c r="B67" s="166">
        <f t="shared" si="2"/>
        <v>44</v>
      </c>
      <c r="C67" s="120" t="s">
        <v>140</v>
      </c>
      <c r="D67" s="324"/>
      <c r="E67" s="125" t="s">
        <v>463</v>
      </c>
      <c r="F67" s="130" t="s">
        <v>581</v>
      </c>
      <c r="G67" s="112" t="s">
        <v>221</v>
      </c>
      <c r="H67" s="162" t="s">
        <v>222</v>
      </c>
      <c r="I67" s="114" t="s">
        <v>223</v>
      </c>
      <c r="J67" s="116"/>
      <c r="K67" s="116"/>
    </row>
    <row r="68" spans="1:11" ht="15" thickBot="1">
      <c r="A68" s="165" t="str">
        <f t="shared" si="1"/>
        <v>7D91</v>
      </c>
      <c r="B68" s="166">
        <f t="shared" si="2"/>
        <v>45</v>
      </c>
      <c r="C68" s="120" t="s">
        <v>140</v>
      </c>
      <c r="D68" s="324"/>
      <c r="E68" s="125" t="s">
        <v>464</v>
      </c>
      <c r="F68" s="130" t="s">
        <v>600</v>
      </c>
      <c r="G68" s="112" t="s">
        <v>224</v>
      </c>
      <c r="H68" s="162" t="s">
        <v>225</v>
      </c>
      <c r="I68" s="114" t="s">
        <v>399</v>
      </c>
      <c r="J68" s="116"/>
      <c r="K68" s="116"/>
    </row>
    <row r="69" spans="1:11" ht="15" thickBot="1">
      <c r="A69" s="165" t="str">
        <f t="shared" si="1"/>
        <v>7D92</v>
      </c>
      <c r="B69" s="166">
        <f t="shared" ref="B69:B90" si="3">$B68+1</f>
        <v>46</v>
      </c>
      <c r="C69" s="120" t="s">
        <v>140</v>
      </c>
      <c r="D69" s="324"/>
      <c r="E69" s="271" t="s">
        <v>465</v>
      </c>
      <c r="F69" s="130" t="s">
        <v>602</v>
      </c>
      <c r="G69" s="344" t="s">
        <v>387</v>
      </c>
      <c r="H69" s="316" t="s">
        <v>388</v>
      </c>
      <c r="I69" s="114"/>
      <c r="J69" s="116"/>
      <c r="K69" s="116"/>
    </row>
    <row r="70" spans="1:11" ht="15" thickBot="1">
      <c r="A70" s="165" t="str">
        <f t="shared" si="1"/>
        <v>7D93</v>
      </c>
      <c r="B70" s="166">
        <f t="shared" si="3"/>
        <v>47</v>
      </c>
      <c r="C70" s="120" t="s">
        <v>140</v>
      </c>
      <c r="D70" s="324"/>
      <c r="E70" s="271" t="s">
        <v>466</v>
      </c>
      <c r="F70" s="130" t="s">
        <v>585</v>
      </c>
      <c r="G70" s="345"/>
      <c r="H70" s="317"/>
      <c r="I70" s="114"/>
      <c r="J70" s="116"/>
      <c r="K70" s="116"/>
    </row>
    <row r="71" spans="1:11" ht="15" thickBot="1">
      <c r="A71" s="165" t="str">
        <f t="shared" si="1"/>
        <v>7D94</v>
      </c>
      <c r="B71" s="166">
        <f t="shared" si="3"/>
        <v>48</v>
      </c>
      <c r="C71" s="120" t="s">
        <v>140</v>
      </c>
      <c r="D71" s="324"/>
      <c r="E71" s="271" t="s">
        <v>467</v>
      </c>
      <c r="F71" s="130" t="s">
        <v>603</v>
      </c>
      <c r="G71" s="344" t="s">
        <v>402</v>
      </c>
      <c r="H71" s="316" t="s">
        <v>388</v>
      </c>
      <c r="I71" s="114"/>
      <c r="J71" s="116"/>
      <c r="K71" s="116"/>
    </row>
    <row r="72" spans="1:11" ht="15" thickBot="1">
      <c r="A72" s="165" t="str">
        <f t="shared" si="1"/>
        <v>7D95</v>
      </c>
      <c r="B72" s="166">
        <f t="shared" si="3"/>
        <v>49</v>
      </c>
      <c r="C72" s="120" t="s">
        <v>140</v>
      </c>
      <c r="D72" s="324"/>
      <c r="E72" s="271" t="s">
        <v>468</v>
      </c>
      <c r="F72" s="130" t="s">
        <v>585</v>
      </c>
      <c r="G72" s="345"/>
      <c r="H72" s="317"/>
      <c r="I72" s="114"/>
      <c r="J72" s="116"/>
      <c r="K72" s="116"/>
    </row>
    <row r="73" spans="1:11" ht="15" thickBot="1">
      <c r="A73" s="165" t="str">
        <f t="shared" si="1"/>
        <v>7D96</v>
      </c>
      <c r="B73" s="166">
        <f t="shared" si="3"/>
        <v>50</v>
      </c>
      <c r="C73" s="120" t="s">
        <v>140</v>
      </c>
      <c r="D73" s="324"/>
      <c r="E73" s="271" t="s">
        <v>469</v>
      </c>
      <c r="F73" s="130" t="s">
        <v>601</v>
      </c>
      <c r="G73" s="344" t="s">
        <v>403</v>
      </c>
      <c r="H73" s="316" t="s">
        <v>388</v>
      </c>
      <c r="I73" s="114"/>
      <c r="J73" s="116"/>
      <c r="K73" s="116"/>
    </row>
    <row r="74" spans="1:11" ht="15" thickBot="1">
      <c r="A74" s="165" t="str">
        <f t="shared" si="1"/>
        <v>7D97</v>
      </c>
      <c r="B74" s="166">
        <f t="shared" si="3"/>
        <v>51</v>
      </c>
      <c r="C74" s="120" t="s">
        <v>140</v>
      </c>
      <c r="D74" s="324"/>
      <c r="E74" s="271" t="s">
        <v>470</v>
      </c>
      <c r="F74" s="130" t="s">
        <v>587</v>
      </c>
      <c r="G74" s="345"/>
      <c r="H74" s="317"/>
      <c r="I74" s="114"/>
      <c r="J74" s="116"/>
      <c r="K74" s="116"/>
    </row>
    <row r="75" spans="1:11" ht="15" thickBot="1">
      <c r="A75" s="165" t="str">
        <f t="shared" si="1"/>
        <v>7D98</v>
      </c>
      <c r="B75" s="166">
        <f t="shared" si="3"/>
        <v>52</v>
      </c>
      <c r="C75" s="120" t="s">
        <v>140</v>
      </c>
      <c r="D75" s="324"/>
      <c r="E75" s="271" t="s">
        <v>471</v>
      </c>
      <c r="F75" s="130" t="s">
        <v>604</v>
      </c>
      <c r="G75" s="344" t="s">
        <v>404</v>
      </c>
      <c r="H75" s="316" t="s">
        <v>388</v>
      </c>
      <c r="I75" s="114"/>
      <c r="J75" s="116"/>
      <c r="K75" s="116"/>
    </row>
    <row r="76" spans="1:11" ht="15" thickBot="1">
      <c r="A76" s="165" t="str">
        <f t="shared" si="1"/>
        <v>7D99</v>
      </c>
      <c r="B76" s="166">
        <f t="shared" si="3"/>
        <v>53</v>
      </c>
      <c r="C76" s="120" t="s">
        <v>140</v>
      </c>
      <c r="D76" s="324"/>
      <c r="E76" s="271" t="s">
        <v>472</v>
      </c>
      <c r="F76" s="130" t="s">
        <v>587</v>
      </c>
      <c r="G76" s="345"/>
      <c r="H76" s="317"/>
      <c r="I76" s="114"/>
      <c r="J76" s="116"/>
      <c r="K76" s="116"/>
    </row>
    <row r="77" spans="1:11" ht="15" thickBot="1">
      <c r="A77" s="165" t="str">
        <f t="shared" si="1"/>
        <v>7D9A</v>
      </c>
      <c r="B77" s="166">
        <f t="shared" si="3"/>
        <v>54</v>
      </c>
      <c r="C77" s="120" t="s">
        <v>140</v>
      </c>
      <c r="D77" s="324"/>
      <c r="E77" s="271" t="s">
        <v>473</v>
      </c>
      <c r="F77" s="130" t="s">
        <v>609</v>
      </c>
      <c r="G77" s="344" t="s">
        <v>405</v>
      </c>
      <c r="H77" s="316" t="s">
        <v>388</v>
      </c>
      <c r="I77" s="114"/>
      <c r="J77" s="116"/>
      <c r="K77" s="116"/>
    </row>
    <row r="78" spans="1:11" ht="15" thickBot="1">
      <c r="A78" s="165" t="str">
        <f t="shared" si="1"/>
        <v>7D9B</v>
      </c>
      <c r="B78" s="166">
        <f t="shared" si="3"/>
        <v>55</v>
      </c>
      <c r="C78" s="120" t="s">
        <v>140</v>
      </c>
      <c r="D78" s="324"/>
      <c r="E78" s="271" t="s">
        <v>474</v>
      </c>
      <c r="F78" s="130" t="s">
        <v>590</v>
      </c>
      <c r="G78" s="345"/>
      <c r="H78" s="317"/>
      <c r="I78" s="114"/>
      <c r="J78" s="116"/>
      <c r="K78" s="116"/>
    </row>
    <row r="79" spans="1:11" ht="15" thickBot="1">
      <c r="A79" s="165" t="str">
        <f t="shared" si="1"/>
        <v>7D9C</v>
      </c>
      <c r="B79" s="166">
        <f t="shared" si="3"/>
        <v>56</v>
      </c>
      <c r="C79" s="120" t="s">
        <v>140</v>
      </c>
      <c r="D79" s="324"/>
      <c r="E79" s="271" t="s">
        <v>475</v>
      </c>
      <c r="F79" s="130" t="s">
        <v>610</v>
      </c>
      <c r="G79" s="344" t="s">
        <v>408</v>
      </c>
      <c r="H79" s="316" t="s">
        <v>388</v>
      </c>
      <c r="I79" s="114"/>
      <c r="J79" s="116"/>
      <c r="K79" s="116"/>
    </row>
    <row r="80" spans="1:11" ht="15" thickBot="1">
      <c r="A80" s="165" t="str">
        <f t="shared" si="1"/>
        <v>7D9D</v>
      </c>
      <c r="B80" s="166">
        <f t="shared" si="3"/>
        <v>57</v>
      </c>
      <c r="C80" s="120" t="s">
        <v>140</v>
      </c>
      <c r="D80" s="324"/>
      <c r="E80" s="271" t="s">
        <v>476</v>
      </c>
      <c r="F80" s="130" t="s">
        <v>590</v>
      </c>
      <c r="G80" s="345"/>
      <c r="H80" s="317"/>
      <c r="I80" s="114"/>
      <c r="J80" s="116"/>
      <c r="K80" s="116"/>
    </row>
    <row r="81" spans="1:11" ht="15" thickBot="1">
      <c r="A81" s="165" t="str">
        <f t="shared" si="1"/>
        <v>7D9E</v>
      </c>
      <c r="B81" s="166">
        <f t="shared" si="3"/>
        <v>58</v>
      </c>
      <c r="C81" s="120" t="s">
        <v>140</v>
      </c>
      <c r="D81" s="324"/>
      <c r="E81" s="271" t="s">
        <v>477</v>
      </c>
      <c r="F81" s="130" t="s">
        <v>605</v>
      </c>
      <c r="G81" s="344" t="s">
        <v>406</v>
      </c>
      <c r="H81" s="316" t="s">
        <v>388</v>
      </c>
      <c r="I81" s="114"/>
      <c r="J81" s="116"/>
      <c r="K81" s="116"/>
    </row>
    <row r="82" spans="1:11" ht="15" thickBot="1">
      <c r="A82" s="165" t="str">
        <f t="shared" si="1"/>
        <v>7D9F</v>
      </c>
      <c r="B82" s="166">
        <f t="shared" si="3"/>
        <v>59</v>
      </c>
      <c r="C82" s="120" t="s">
        <v>140</v>
      </c>
      <c r="D82" s="324"/>
      <c r="E82" s="271" t="s">
        <v>478</v>
      </c>
      <c r="F82" s="130" t="s">
        <v>593</v>
      </c>
      <c r="G82" s="345"/>
      <c r="H82" s="317"/>
      <c r="I82" s="114"/>
      <c r="J82" s="116"/>
      <c r="K82" s="116"/>
    </row>
    <row r="83" spans="1:11" ht="15" thickBot="1">
      <c r="A83" s="165" t="str">
        <f t="shared" si="1"/>
        <v>7DA0</v>
      </c>
      <c r="B83" s="166">
        <f t="shared" si="3"/>
        <v>60</v>
      </c>
      <c r="C83" s="120" t="s">
        <v>140</v>
      </c>
      <c r="D83" s="324"/>
      <c r="E83" s="271" t="s">
        <v>479</v>
      </c>
      <c r="F83" s="130" t="s">
        <v>606</v>
      </c>
      <c r="G83" s="344" t="s">
        <v>407</v>
      </c>
      <c r="H83" s="316" t="s">
        <v>388</v>
      </c>
      <c r="I83" s="114"/>
      <c r="J83" s="116"/>
      <c r="K83" s="116"/>
    </row>
    <row r="84" spans="1:11" ht="15" thickBot="1">
      <c r="A84" s="165" t="str">
        <f t="shared" si="1"/>
        <v>7DA1</v>
      </c>
      <c r="B84" s="166">
        <f t="shared" si="3"/>
        <v>61</v>
      </c>
      <c r="C84" s="120" t="s">
        <v>140</v>
      </c>
      <c r="D84" s="324"/>
      <c r="E84" s="271" t="s">
        <v>480</v>
      </c>
      <c r="F84" s="130" t="s">
        <v>593</v>
      </c>
      <c r="G84" s="345"/>
      <c r="H84" s="317"/>
      <c r="I84" s="114"/>
      <c r="J84" s="116"/>
      <c r="K84" s="116"/>
    </row>
    <row r="85" spans="1:11" ht="15" thickBot="1">
      <c r="A85" s="165" t="str">
        <f t="shared" si="1"/>
        <v>7DA2</v>
      </c>
      <c r="B85" s="166">
        <f t="shared" si="3"/>
        <v>62</v>
      </c>
      <c r="C85" s="120" t="s">
        <v>140</v>
      </c>
      <c r="D85" s="324"/>
      <c r="E85" s="271" t="s">
        <v>481</v>
      </c>
      <c r="F85" s="130" t="s">
        <v>607</v>
      </c>
      <c r="G85" s="344" t="s">
        <v>409</v>
      </c>
      <c r="H85" s="316" t="s">
        <v>388</v>
      </c>
      <c r="I85" s="114"/>
      <c r="J85" s="116"/>
      <c r="K85" s="116"/>
    </row>
    <row r="86" spans="1:11" ht="15" thickBot="1">
      <c r="A86" s="165" t="str">
        <f t="shared" si="1"/>
        <v>7DA3</v>
      </c>
      <c r="B86" s="166">
        <f t="shared" si="3"/>
        <v>63</v>
      </c>
      <c r="C86" s="120" t="s">
        <v>140</v>
      </c>
      <c r="D86" s="324"/>
      <c r="E86" s="271" t="s">
        <v>482</v>
      </c>
      <c r="F86" s="130" t="s">
        <v>593</v>
      </c>
      <c r="G86" s="345"/>
      <c r="H86" s="317"/>
      <c r="I86" s="114"/>
      <c r="J86" s="116"/>
      <c r="K86" s="116"/>
    </row>
    <row r="87" spans="1:11" ht="15" thickBot="1">
      <c r="A87" s="165" t="str">
        <f t="shared" si="1"/>
        <v>7DA4</v>
      </c>
      <c r="B87" s="166">
        <f t="shared" si="3"/>
        <v>64</v>
      </c>
      <c r="C87" s="120" t="s">
        <v>140</v>
      </c>
      <c r="D87" s="324"/>
      <c r="E87" s="271" t="s">
        <v>483</v>
      </c>
      <c r="F87" s="130" t="s">
        <v>608</v>
      </c>
      <c r="G87" s="344" t="s">
        <v>410</v>
      </c>
      <c r="H87" s="316" t="s">
        <v>388</v>
      </c>
      <c r="I87" s="114"/>
      <c r="J87" s="116"/>
      <c r="K87" s="116"/>
    </row>
    <row r="88" spans="1:11" ht="15" thickBot="1">
      <c r="A88" s="165" t="str">
        <f t="shared" si="1"/>
        <v>7DA5</v>
      </c>
      <c r="B88" s="166">
        <f t="shared" si="3"/>
        <v>65</v>
      </c>
      <c r="C88" s="120" t="s">
        <v>140</v>
      </c>
      <c r="D88" s="324"/>
      <c r="E88" s="271" t="s">
        <v>484</v>
      </c>
      <c r="F88" s="130" t="s">
        <v>593</v>
      </c>
      <c r="G88" s="345"/>
      <c r="H88" s="317"/>
      <c r="I88" s="114"/>
      <c r="J88" s="116"/>
      <c r="K88" s="116"/>
    </row>
    <row r="89" spans="1:11" ht="15" thickBot="1">
      <c r="A89" s="165" t="str">
        <f t="shared" si="1"/>
        <v>7DA6</v>
      </c>
      <c r="B89" s="166">
        <f t="shared" si="3"/>
        <v>66</v>
      </c>
      <c r="C89" s="120" t="s">
        <v>140</v>
      </c>
      <c r="D89" s="324"/>
      <c r="E89" s="271" t="s">
        <v>485</v>
      </c>
      <c r="F89" s="130" t="s">
        <v>581</v>
      </c>
      <c r="G89" s="344" t="s">
        <v>411</v>
      </c>
      <c r="H89" s="316" t="s">
        <v>414</v>
      </c>
      <c r="I89" s="114" t="s">
        <v>412</v>
      </c>
      <c r="J89" s="116"/>
      <c r="K89" s="116"/>
    </row>
    <row r="90" spans="1:11" ht="15" thickBot="1">
      <c r="A90" s="165" t="str">
        <f t="shared" si="1"/>
        <v>7DA7</v>
      </c>
      <c r="B90" s="166">
        <f t="shared" si="3"/>
        <v>67</v>
      </c>
      <c r="C90" s="120" t="s">
        <v>140</v>
      </c>
      <c r="D90" s="324"/>
      <c r="E90" s="271" t="s">
        <v>486</v>
      </c>
      <c r="F90" s="130" t="s">
        <v>581</v>
      </c>
      <c r="G90" s="345"/>
      <c r="H90" s="317"/>
      <c r="I90" s="114"/>
      <c r="J90" s="116"/>
      <c r="K90" s="116"/>
    </row>
    <row r="91" spans="1:11" ht="15" thickBot="1">
      <c r="A91" s="165" t="str">
        <f t="shared" si="1"/>
        <v>7DA8</v>
      </c>
      <c r="B91" s="166">
        <f>$B90+1</f>
        <v>68</v>
      </c>
      <c r="C91" s="138" t="s">
        <v>140</v>
      </c>
      <c r="D91" s="339"/>
      <c r="E91" s="271" t="s">
        <v>493</v>
      </c>
      <c r="F91" s="130" t="s">
        <v>611</v>
      </c>
      <c r="G91" s="139" t="s">
        <v>489</v>
      </c>
      <c r="H91" s="140" t="s">
        <v>491</v>
      </c>
      <c r="I91" s="324"/>
      <c r="J91" s="116" t="s">
        <v>100</v>
      </c>
      <c r="K91" s="118" t="s">
        <v>62</v>
      </c>
    </row>
    <row r="92" spans="1:11" ht="15" thickBot="1">
      <c r="A92" s="165" t="str">
        <f t="shared" si="1"/>
        <v>7DA9</v>
      </c>
      <c r="B92" s="166">
        <f>$B91+1</f>
        <v>69</v>
      </c>
      <c r="C92" s="138" t="s">
        <v>140</v>
      </c>
      <c r="D92" s="339"/>
      <c r="E92" s="271" t="s">
        <v>494</v>
      </c>
      <c r="F92" s="130" t="s">
        <v>612</v>
      </c>
      <c r="G92" s="139" t="s">
        <v>490</v>
      </c>
      <c r="H92" s="140" t="s">
        <v>492</v>
      </c>
      <c r="I92" s="324"/>
      <c r="J92" s="116" t="s">
        <v>100</v>
      </c>
      <c r="K92" s="118" t="s">
        <v>62</v>
      </c>
    </row>
    <row r="93" spans="1:11" ht="15" thickBot="1">
      <c r="A93" s="165" t="str">
        <f t="shared" si="1"/>
        <v>7DAA</v>
      </c>
      <c r="B93" s="166">
        <f t="shared" ref="B93:B94" si="4">$B92+1</f>
        <v>70</v>
      </c>
      <c r="C93" s="138" t="s">
        <v>140</v>
      </c>
      <c r="D93" s="339"/>
      <c r="E93" s="271" t="s">
        <v>495</v>
      </c>
      <c r="F93" s="130" t="s">
        <v>613</v>
      </c>
      <c r="G93" s="139" t="s">
        <v>228</v>
      </c>
      <c r="H93" s="140" t="s">
        <v>229</v>
      </c>
      <c r="I93" s="324"/>
      <c r="J93" s="116" t="s">
        <v>100</v>
      </c>
      <c r="K93" s="118" t="s">
        <v>62</v>
      </c>
    </row>
    <row r="94" spans="1:11" ht="15" thickBot="1">
      <c r="A94" s="165" t="str">
        <f t="shared" si="1"/>
        <v>7DAB</v>
      </c>
      <c r="B94" s="166">
        <f t="shared" si="4"/>
        <v>71</v>
      </c>
      <c r="C94" s="138" t="s">
        <v>140</v>
      </c>
      <c r="D94" s="339"/>
      <c r="E94" s="271" t="s">
        <v>496</v>
      </c>
      <c r="F94" s="130" t="s">
        <v>581</v>
      </c>
      <c r="G94" s="141" t="s">
        <v>230</v>
      </c>
      <c r="H94" s="140" t="s">
        <v>231</v>
      </c>
      <c r="I94" s="324"/>
      <c r="J94" s="116" t="s">
        <v>100</v>
      </c>
      <c r="K94" s="118" t="s">
        <v>62</v>
      </c>
    </row>
    <row r="95" spans="1:11" ht="15" thickBot="1">
      <c r="A95" s="165" t="str">
        <f t="shared" si="1"/>
        <v>7DAC</v>
      </c>
      <c r="B95" s="166">
        <f t="shared" ref="B95" si="5">$B94+1</f>
        <v>72</v>
      </c>
      <c r="C95" s="138" t="s">
        <v>140</v>
      </c>
      <c r="D95" s="339"/>
      <c r="E95" s="271" t="s">
        <v>497</v>
      </c>
      <c r="F95" s="130" t="s">
        <v>581</v>
      </c>
      <c r="G95" s="141" t="s">
        <v>498</v>
      </c>
      <c r="H95" s="140" t="s">
        <v>500</v>
      </c>
      <c r="I95" s="324"/>
      <c r="J95" s="116" t="s">
        <v>100</v>
      </c>
      <c r="K95" s="118" t="s">
        <v>62</v>
      </c>
    </row>
    <row r="96" spans="1:11" ht="15" thickBot="1">
      <c r="A96" s="165" t="str">
        <f t="shared" si="1"/>
        <v>7DAD</v>
      </c>
      <c r="B96" s="166">
        <f t="shared" ref="B96:B113" si="6">$B95+1</f>
        <v>73</v>
      </c>
      <c r="C96" s="138" t="s">
        <v>140</v>
      </c>
      <c r="D96" s="339"/>
      <c r="E96" s="271" t="s">
        <v>502</v>
      </c>
      <c r="F96" s="130" t="s">
        <v>581</v>
      </c>
      <c r="G96" s="141" t="s">
        <v>499</v>
      </c>
      <c r="H96" s="140" t="s">
        <v>501</v>
      </c>
      <c r="I96" s="324"/>
      <c r="J96" s="116" t="s">
        <v>100</v>
      </c>
      <c r="K96" s="118" t="s">
        <v>62</v>
      </c>
    </row>
    <row r="97" spans="1:11" ht="15" thickBot="1">
      <c r="A97" s="165" t="str">
        <f t="shared" si="1"/>
        <v>7DAE</v>
      </c>
      <c r="B97" s="166">
        <f t="shared" si="6"/>
        <v>74</v>
      </c>
      <c r="C97" s="138" t="s">
        <v>140</v>
      </c>
      <c r="D97" s="339"/>
      <c r="E97" s="271" t="s">
        <v>503</v>
      </c>
      <c r="F97" s="130" t="s">
        <v>581</v>
      </c>
      <c r="G97" s="141" t="s">
        <v>505</v>
      </c>
      <c r="H97" s="140" t="s">
        <v>507</v>
      </c>
      <c r="I97" s="324"/>
      <c r="J97" s="116" t="s">
        <v>100</v>
      </c>
      <c r="K97" s="118" t="s">
        <v>62</v>
      </c>
    </row>
    <row r="98" spans="1:11" ht="15" thickBot="1">
      <c r="A98" s="165" t="str">
        <f t="shared" si="1"/>
        <v>7DAF</v>
      </c>
      <c r="B98" s="166">
        <f t="shared" si="6"/>
        <v>75</v>
      </c>
      <c r="C98" s="138" t="s">
        <v>140</v>
      </c>
      <c r="D98" s="339"/>
      <c r="E98" s="271" t="s">
        <v>504</v>
      </c>
      <c r="F98" s="130" t="s">
        <v>581</v>
      </c>
      <c r="G98" s="141" t="s">
        <v>506</v>
      </c>
      <c r="H98" s="140" t="s">
        <v>508</v>
      </c>
      <c r="I98" s="324"/>
      <c r="J98" s="116" t="s">
        <v>100</v>
      </c>
      <c r="K98" s="118" t="s">
        <v>62</v>
      </c>
    </row>
    <row r="99" spans="1:11" ht="15" thickBot="1">
      <c r="A99" s="165" t="str">
        <f t="shared" si="1"/>
        <v>7DB0</v>
      </c>
      <c r="B99" s="166">
        <f t="shared" si="6"/>
        <v>76</v>
      </c>
      <c r="C99" s="138" t="s">
        <v>140</v>
      </c>
      <c r="D99" s="339"/>
      <c r="E99" s="271" t="s">
        <v>509</v>
      </c>
      <c r="F99" s="130" t="s">
        <v>581</v>
      </c>
      <c r="G99" s="141" t="s">
        <v>232</v>
      </c>
      <c r="H99" s="140" t="s">
        <v>233</v>
      </c>
      <c r="I99" s="324"/>
      <c r="J99" s="116" t="s">
        <v>100</v>
      </c>
      <c r="K99" s="118" t="s">
        <v>62</v>
      </c>
    </row>
    <row r="100" spans="1:11" ht="15" thickBot="1">
      <c r="A100" s="165" t="str">
        <f t="shared" si="1"/>
        <v>7DB1</v>
      </c>
      <c r="B100" s="166">
        <f t="shared" si="6"/>
        <v>77</v>
      </c>
      <c r="C100" s="138" t="s">
        <v>140</v>
      </c>
      <c r="D100" s="339"/>
      <c r="E100" s="271" t="s">
        <v>510</v>
      </c>
      <c r="F100" s="130" t="s">
        <v>614</v>
      </c>
      <c r="G100" s="141" t="s">
        <v>234</v>
      </c>
      <c r="H100" s="140" t="s">
        <v>235</v>
      </c>
      <c r="I100" s="324"/>
      <c r="J100" s="116" t="s">
        <v>100</v>
      </c>
      <c r="K100" s="118" t="s">
        <v>62</v>
      </c>
    </row>
    <row r="101" spans="1:11" ht="15" thickBot="1">
      <c r="A101" s="165" t="str">
        <f t="shared" ref="A101:A159" si="7">DEC2HEX(HEX2DEC($A100)+1)</f>
        <v>7DB2</v>
      </c>
      <c r="B101" s="166">
        <f t="shared" si="6"/>
        <v>78</v>
      </c>
      <c r="C101" s="138" t="s">
        <v>140</v>
      </c>
      <c r="D101" s="339"/>
      <c r="E101" s="271" t="s">
        <v>511</v>
      </c>
      <c r="F101" s="130" t="s">
        <v>615</v>
      </c>
      <c r="G101" s="141" t="s">
        <v>512</v>
      </c>
      <c r="H101" s="142" t="s">
        <v>526</v>
      </c>
      <c r="I101" s="324"/>
      <c r="J101" s="116" t="s">
        <v>100</v>
      </c>
      <c r="K101" s="118" t="s">
        <v>62</v>
      </c>
    </row>
    <row r="102" spans="1:11" ht="15" thickBot="1">
      <c r="A102" s="165" t="str">
        <f t="shared" si="7"/>
        <v>7DB3</v>
      </c>
      <c r="B102" s="166">
        <f t="shared" si="6"/>
        <v>79</v>
      </c>
      <c r="C102" s="138" t="s">
        <v>140</v>
      </c>
      <c r="D102" s="339"/>
      <c r="E102" s="271" t="s">
        <v>515</v>
      </c>
      <c r="F102" s="130" t="s">
        <v>615</v>
      </c>
      <c r="G102" s="141" t="s">
        <v>513</v>
      </c>
      <c r="H102" s="142" t="s">
        <v>514</v>
      </c>
      <c r="I102" s="324"/>
      <c r="J102" s="116" t="s">
        <v>100</v>
      </c>
      <c r="K102" s="118" t="s">
        <v>62</v>
      </c>
    </row>
    <row r="103" spans="1:11" ht="15" thickBot="1">
      <c r="A103" s="165" t="str">
        <f t="shared" si="7"/>
        <v>7DB4</v>
      </c>
      <c r="B103" s="166">
        <f t="shared" si="6"/>
        <v>80</v>
      </c>
      <c r="C103" s="138" t="s">
        <v>140</v>
      </c>
      <c r="D103" s="339"/>
      <c r="E103" s="271" t="s">
        <v>516</v>
      </c>
      <c r="F103" s="130" t="s">
        <v>616</v>
      </c>
      <c r="G103" s="141" t="s">
        <v>518</v>
      </c>
      <c r="H103" s="142" t="s">
        <v>527</v>
      </c>
      <c r="I103" s="324"/>
      <c r="J103" s="116" t="s">
        <v>100</v>
      </c>
      <c r="K103" s="118" t="s">
        <v>62</v>
      </c>
    </row>
    <row r="104" spans="1:11" ht="15" thickBot="1">
      <c r="A104" s="165" t="str">
        <f t="shared" si="7"/>
        <v>7DB5</v>
      </c>
      <c r="B104" s="166">
        <f t="shared" si="6"/>
        <v>81</v>
      </c>
      <c r="C104" s="138" t="s">
        <v>140</v>
      </c>
      <c r="D104" s="339"/>
      <c r="E104" s="271" t="s">
        <v>517</v>
      </c>
      <c r="F104" s="130" t="s">
        <v>581</v>
      </c>
      <c r="G104" s="141" t="s">
        <v>519</v>
      </c>
      <c r="H104" s="142" t="s">
        <v>520</v>
      </c>
      <c r="I104" s="324"/>
      <c r="J104" s="116" t="s">
        <v>100</v>
      </c>
      <c r="K104" s="118" t="s">
        <v>62</v>
      </c>
    </row>
    <row r="105" spans="1:11" ht="15" thickBot="1">
      <c r="A105" s="165" t="str">
        <f t="shared" si="7"/>
        <v>7DB6</v>
      </c>
      <c r="B105" s="166">
        <f t="shared" si="6"/>
        <v>82</v>
      </c>
      <c r="C105" s="138" t="s">
        <v>140</v>
      </c>
      <c r="D105" s="339"/>
      <c r="E105" s="271" t="s">
        <v>521</v>
      </c>
      <c r="F105" s="130" t="s">
        <v>617</v>
      </c>
      <c r="G105" s="141" t="s">
        <v>523</v>
      </c>
      <c r="H105" s="142" t="s">
        <v>528</v>
      </c>
      <c r="I105" s="324"/>
      <c r="J105" s="116" t="s">
        <v>100</v>
      </c>
      <c r="K105" s="118" t="s">
        <v>62</v>
      </c>
    </row>
    <row r="106" spans="1:11" ht="15" thickBot="1">
      <c r="A106" s="165" t="str">
        <f t="shared" si="7"/>
        <v>7DB7</v>
      </c>
      <c r="B106" s="166">
        <f t="shared" si="6"/>
        <v>83</v>
      </c>
      <c r="C106" s="138" t="s">
        <v>140</v>
      </c>
      <c r="D106" s="339"/>
      <c r="E106" s="271" t="s">
        <v>522</v>
      </c>
      <c r="F106" s="130" t="s">
        <v>618</v>
      </c>
      <c r="G106" s="141" t="s">
        <v>524</v>
      </c>
      <c r="H106" s="142" t="s">
        <v>525</v>
      </c>
      <c r="I106" s="324"/>
      <c r="J106" s="116" t="s">
        <v>100</v>
      </c>
      <c r="K106" s="118" t="s">
        <v>62</v>
      </c>
    </row>
    <row r="107" spans="1:11" ht="15" thickBot="1">
      <c r="A107" s="165" t="str">
        <f t="shared" si="7"/>
        <v>7DB8</v>
      </c>
      <c r="B107" s="166">
        <f t="shared" si="6"/>
        <v>84</v>
      </c>
      <c r="C107" s="138" t="s">
        <v>140</v>
      </c>
      <c r="D107" s="339"/>
      <c r="E107" s="271" t="s">
        <v>529</v>
      </c>
      <c r="F107" s="130" t="s">
        <v>619</v>
      </c>
      <c r="G107" s="141" t="s">
        <v>236</v>
      </c>
      <c r="H107" s="140" t="s">
        <v>237</v>
      </c>
      <c r="I107" s="324"/>
      <c r="J107" s="116" t="s">
        <v>100</v>
      </c>
      <c r="K107" s="118" t="s">
        <v>62</v>
      </c>
    </row>
    <row r="108" spans="1:11" ht="15" thickBot="1">
      <c r="A108" s="165" t="str">
        <f t="shared" si="7"/>
        <v>7DB9</v>
      </c>
      <c r="B108" s="166">
        <f t="shared" si="6"/>
        <v>85</v>
      </c>
      <c r="C108" s="138" t="s">
        <v>140</v>
      </c>
      <c r="D108" s="339"/>
      <c r="E108" s="271" t="s">
        <v>530</v>
      </c>
      <c r="F108" s="130" t="s">
        <v>581</v>
      </c>
      <c r="G108" s="143" t="s">
        <v>238</v>
      </c>
      <c r="H108" s="140" t="s">
        <v>239</v>
      </c>
      <c r="I108" s="324"/>
      <c r="J108" s="116" t="s">
        <v>100</v>
      </c>
      <c r="K108" s="116" t="s">
        <v>62</v>
      </c>
    </row>
    <row r="109" spans="1:11" ht="15" thickBot="1">
      <c r="A109" s="165" t="str">
        <f t="shared" si="7"/>
        <v>7DBA</v>
      </c>
      <c r="B109" s="166">
        <f t="shared" si="6"/>
        <v>86</v>
      </c>
      <c r="C109" s="138" t="s">
        <v>140</v>
      </c>
      <c r="D109" s="339"/>
      <c r="E109" s="271" t="s">
        <v>531</v>
      </c>
      <c r="F109" s="130" t="s">
        <v>581</v>
      </c>
      <c r="G109" s="141" t="s">
        <v>240</v>
      </c>
      <c r="H109" s="140" t="s">
        <v>241</v>
      </c>
      <c r="I109" s="324"/>
      <c r="J109" s="116" t="s">
        <v>100</v>
      </c>
      <c r="K109" s="118" t="s">
        <v>62</v>
      </c>
    </row>
    <row r="110" spans="1:11" ht="15" thickBot="1">
      <c r="A110" s="165" t="str">
        <f t="shared" si="7"/>
        <v>7DBB</v>
      </c>
      <c r="B110" s="166">
        <f t="shared" si="6"/>
        <v>87</v>
      </c>
      <c r="C110" s="138" t="s">
        <v>140</v>
      </c>
      <c r="D110" s="339"/>
      <c r="E110" s="271" t="s">
        <v>532</v>
      </c>
      <c r="F110" s="130" t="s">
        <v>581</v>
      </c>
      <c r="G110" s="143" t="s">
        <v>242</v>
      </c>
      <c r="H110" s="140" t="s">
        <v>243</v>
      </c>
      <c r="I110" s="324"/>
      <c r="J110" s="116" t="s">
        <v>100</v>
      </c>
      <c r="K110" s="116" t="s">
        <v>62</v>
      </c>
    </row>
    <row r="111" spans="1:11" ht="26.5" thickBot="1">
      <c r="A111" s="165" t="str">
        <f t="shared" si="7"/>
        <v>7DBC</v>
      </c>
      <c r="B111" s="166">
        <f t="shared" si="6"/>
        <v>88</v>
      </c>
      <c r="C111" s="138" t="s">
        <v>140</v>
      </c>
      <c r="D111" s="339"/>
      <c r="E111" s="271" t="s">
        <v>535</v>
      </c>
      <c r="F111" s="130" t="s">
        <v>596</v>
      </c>
      <c r="G111" s="143" t="s">
        <v>371</v>
      </c>
      <c r="H111" s="140" t="s">
        <v>400</v>
      </c>
      <c r="I111" s="324"/>
      <c r="J111" s="116" t="s">
        <v>100</v>
      </c>
      <c r="K111" s="116" t="s">
        <v>62</v>
      </c>
    </row>
    <row r="112" spans="1:11" ht="26.5" thickBot="1">
      <c r="A112" s="165" t="str">
        <f t="shared" si="7"/>
        <v>7DBD</v>
      </c>
      <c r="B112" s="166">
        <f t="shared" si="6"/>
        <v>89</v>
      </c>
      <c r="C112" s="138" t="s">
        <v>140</v>
      </c>
      <c r="D112" s="339"/>
      <c r="E112" s="271" t="s">
        <v>536</v>
      </c>
      <c r="F112" s="130" t="s">
        <v>597</v>
      </c>
      <c r="G112" s="143" t="s">
        <v>244</v>
      </c>
      <c r="H112" s="140" t="s">
        <v>401</v>
      </c>
      <c r="I112" s="324"/>
      <c r="J112" s="116" t="s">
        <v>100</v>
      </c>
      <c r="K112" s="116" t="s">
        <v>62</v>
      </c>
    </row>
    <row r="113" spans="1:11" ht="15" thickBot="1">
      <c r="A113" s="165" t="str">
        <f t="shared" si="7"/>
        <v>7DBE</v>
      </c>
      <c r="B113" s="166">
        <f t="shared" si="6"/>
        <v>90</v>
      </c>
      <c r="C113" s="126" t="s">
        <v>140</v>
      </c>
      <c r="D113" s="324"/>
      <c r="E113" s="271" t="s">
        <v>533</v>
      </c>
      <c r="F113" s="130" t="s">
        <v>620</v>
      </c>
      <c r="G113" s="314" t="s">
        <v>245</v>
      </c>
      <c r="H113" s="316" t="s">
        <v>246</v>
      </c>
      <c r="I113" s="326"/>
      <c r="J113" s="116" t="s">
        <v>100</v>
      </c>
      <c r="K113" s="118" t="s">
        <v>62</v>
      </c>
    </row>
    <row r="114" spans="1:11" ht="15" thickBot="1">
      <c r="A114" s="165" t="str">
        <f t="shared" si="7"/>
        <v>7DBF</v>
      </c>
      <c r="B114" s="166">
        <f t="shared" ref="B114:B117" si="8">$B113+1</f>
        <v>91</v>
      </c>
      <c r="C114" s="126" t="s">
        <v>140</v>
      </c>
      <c r="D114" s="324"/>
      <c r="E114" s="271" t="s">
        <v>534</v>
      </c>
      <c r="F114" s="130" t="s">
        <v>621</v>
      </c>
      <c r="G114" s="324"/>
      <c r="H114" s="325"/>
      <c r="I114" s="326"/>
      <c r="J114" s="116" t="s">
        <v>100</v>
      </c>
      <c r="K114" s="118" t="s">
        <v>62</v>
      </c>
    </row>
    <row r="115" spans="1:11" ht="15" thickBot="1">
      <c r="A115" s="165" t="str">
        <f t="shared" si="7"/>
        <v>7DC0</v>
      </c>
      <c r="B115" s="166">
        <f t="shared" si="8"/>
        <v>92</v>
      </c>
      <c r="C115" s="126" t="s">
        <v>140</v>
      </c>
      <c r="D115" s="324"/>
      <c r="E115" s="271" t="s">
        <v>537</v>
      </c>
      <c r="F115" s="130" t="s">
        <v>622</v>
      </c>
      <c r="G115" s="324"/>
      <c r="H115" s="325"/>
      <c r="I115" s="326"/>
      <c r="J115" s="116" t="s">
        <v>100</v>
      </c>
      <c r="K115" s="118" t="s">
        <v>62</v>
      </c>
    </row>
    <row r="116" spans="1:11" ht="15" thickBot="1">
      <c r="A116" s="165" t="str">
        <f t="shared" si="7"/>
        <v>7DC1</v>
      </c>
      <c r="B116" s="166">
        <f t="shared" si="8"/>
        <v>93</v>
      </c>
      <c r="C116" s="126" t="s">
        <v>140</v>
      </c>
      <c r="D116" s="324"/>
      <c r="E116" s="271" t="s">
        <v>538</v>
      </c>
      <c r="F116" s="130" t="s">
        <v>623</v>
      </c>
      <c r="G116" s="315"/>
      <c r="H116" s="317"/>
      <c r="I116" s="326"/>
      <c r="J116" s="116" t="s">
        <v>100</v>
      </c>
      <c r="K116" s="118" t="s">
        <v>62</v>
      </c>
    </row>
    <row r="117" spans="1:11" ht="15" thickBot="1">
      <c r="A117" s="165" t="str">
        <f t="shared" si="7"/>
        <v>7DC2</v>
      </c>
      <c r="B117" s="166">
        <f t="shared" si="8"/>
        <v>94</v>
      </c>
      <c r="C117" s="126" t="s">
        <v>140</v>
      </c>
      <c r="D117" s="324"/>
      <c r="E117" s="271" t="s">
        <v>539</v>
      </c>
      <c r="F117" s="130" t="s">
        <v>624</v>
      </c>
      <c r="G117" s="314" t="s">
        <v>247</v>
      </c>
      <c r="H117" s="316" t="s">
        <v>248</v>
      </c>
      <c r="I117" s="326"/>
      <c r="J117" s="116" t="s">
        <v>100</v>
      </c>
      <c r="K117" s="118" t="s">
        <v>62</v>
      </c>
    </row>
    <row r="118" spans="1:11" ht="15" thickBot="1">
      <c r="A118" s="165" t="str">
        <f t="shared" si="7"/>
        <v>7DC3</v>
      </c>
      <c r="B118" s="166">
        <f t="shared" ref="B118:B121" si="9">$B117+1</f>
        <v>95</v>
      </c>
      <c r="C118" s="126" t="s">
        <v>140</v>
      </c>
      <c r="D118" s="324"/>
      <c r="E118" s="271" t="s">
        <v>540</v>
      </c>
      <c r="F118" s="130" t="s">
        <v>588</v>
      </c>
      <c r="G118" s="324"/>
      <c r="H118" s="325"/>
      <c r="I118" s="326"/>
      <c r="J118" s="116" t="s">
        <v>100</v>
      </c>
      <c r="K118" s="118" t="s">
        <v>62</v>
      </c>
    </row>
    <row r="119" spans="1:11" ht="15" thickBot="1">
      <c r="A119" s="165" t="str">
        <f t="shared" si="7"/>
        <v>7DC4</v>
      </c>
      <c r="B119" s="166">
        <f t="shared" si="9"/>
        <v>96</v>
      </c>
      <c r="C119" s="126" t="s">
        <v>140</v>
      </c>
      <c r="D119" s="324"/>
      <c r="E119" s="271" t="s">
        <v>541</v>
      </c>
      <c r="F119" s="130" t="s">
        <v>646</v>
      </c>
      <c r="G119" s="324"/>
      <c r="H119" s="325"/>
      <c r="I119" s="326"/>
      <c r="J119" s="116" t="s">
        <v>100</v>
      </c>
      <c r="K119" s="118" t="s">
        <v>62</v>
      </c>
    </row>
    <row r="120" spans="1:11" ht="15" thickBot="1">
      <c r="A120" s="165" t="str">
        <f t="shared" si="7"/>
        <v>7DC5</v>
      </c>
      <c r="B120" s="166">
        <f t="shared" si="9"/>
        <v>97</v>
      </c>
      <c r="C120" s="126" t="s">
        <v>140</v>
      </c>
      <c r="D120" s="324"/>
      <c r="E120" s="271" t="s">
        <v>542</v>
      </c>
      <c r="F120" s="130" t="s">
        <v>625</v>
      </c>
      <c r="G120" s="315"/>
      <c r="H120" s="317"/>
      <c r="I120" s="326"/>
      <c r="J120" s="116" t="s">
        <v>100</v>
      </c>
      <c r="K120" s="118" t="s">
        <v>62</v>
      </c>
    </row>
    <row r="121" spans="1:11" ht="15" thickBot="1">
      <c r="A121" s="165" t="str">
        <f t="shared" si="7"/>
        <v>7DC6</v>
      </c>
      <c r="B121" s="166">
        <f t="shared" si="9"/>
        <v>98</v>
      </c>
      <c r="C121" s="126" t="s">
        <v>140</v>
      </c>
      <c r="D121" s="324"/>
      <c r="E121" s="271" t="s">
        <v>543</v>
      </c>
      <c r="F121" s="130" t="s">
        <v>626</v>
      </c>
      <c r="G121" s="314" t="s">
        <v>249</v>
      </c>
      <c r="H121" s="316" t="s">
        <v>250</v>
      </c>
      <c r="I121" s="326"/>
      <c r="J121" s="116" t="s">
        <v>100</v>
      </c>
      <c r="K121" s="118" t="s">
        <v>62</v>
      </c>
    </row>
    <row r="122" spans="1:11" ht="15" thickBot="1">
      <c r="A122" s="165" t="str">
        <f t="shared" si="7"/>
        <v>7DC7</v>
      </c>
      <c r="B122" s="166">
        <f t="shared" ref="B122:B125" si="10">$B121+1</f>
        <v>99</v>
      </c>
      <c r="C122" s="126" t="s">
        <v>140</v>
      </c>
      <c r="D122" s="324"/>
      <c r="E122" s="271" t="s">
        <v>544</v>
      </c>
      <c r="F122" s="130" t="s">
        <v>627</v>
      </c>
      <c r="G122" s="324"/>
      <c r="H122" s="325"/>
      <c r="I122" s="326"/>
      <c r="J122" s="116" t="s">
        <v>100</v>
      </c>
      <c r="K122" s="118" t="s">
        <v>62</v>
      </c>
    </row>
    <row r="123" spans="1:11" ht="15" thickBot="1">
      <c r="A123" s="165" t="str">
        <f t="shared" si="7"/>
        <v>7DC8</v>
      </c>
      <c r="B123" s="166">
        <f t="shared" si="10"/>
        <v>100</v>
      </c>
      <c r="C123" s="126" t="s">
        <v>140</v>
      </c>
      <c r="D123" s="324"/>
      <c r="E123" s="271" t="s">
        <v>545</v>
      </c>
      <c r="F123" s="130" t="s">
        <v>628</v>
      </c>
      <c r="G123" s="324"/>
      <c r="H123" s="325"/>
      <c r="I123" s="326"/>
      <c r="J123" s="116" t="s">
        <v>100</v>
      </c>
      <c r="K123" s="118" t="s">
        <v>62</v>
      </c>
    </row>
    <row r="124" spans="1:11" ht="15" thickBot="1">
      <c r="A124" s="165" t="str">
        <f t="shared" si="7"/>
        <v>7DC9</v>
      </c>
      <c r="B124" s="166">
        <f t="shared" si="10"/>
        <v>101</v>
      </c>
      <c r="C124" s="126" t="s">
        <v>140</v>
      </c>
      <c r="D124" s="324"/>
      <c r="E124" s="271" t="s">
        <v>546</v>
      </c>
      <c r="F124" s="130" t="s">
        <v>629</v>
      </c>
      <c r="G124" s="315"/>
      <c r="H124" s="317"/>
      <c r="I124" s="326"/>
      <c r="J124" s="116" t="s">
        <v>100</v>
      </c>
      <c r="K124" s="118" t="s">
        <v>62</v>
      </c>
    </row>
    <row r="125" spans="1:11" ht="15" thickBot="1">
      <c r="A125" s="165" t="str">
        <f t="shared" si="7"/>
        <v>7DCA</v>
      </c>
      <c r="B125" s="166">
        <f t="shared" si="10"/>
        <v>102</v>
      </c>
      <c r="C125" s="126" t="s">
        <v>140</v>
      </c>
      <c r="D125" s="324"/>
      <c r="E125" s="271" t="s">
        <v>547</v>
      </c>
      <c r="F125" s="130" t="s">
        <v>630</v>
      </c>
      <c r="G125" s="314" t="s">
        <v>251</v>
      </c>
      <c r="H125" s="316" t="s">
        <v>252</v>
      </c>
      <c r="I125" s="326"/>
      <c r="J125" s="116" t="s">
        <v>100</v>
      </c>
      <c r="K125" s="118" t="s">
        <v>62</v>
      </c>
    </row>
    <row r="126" spans="1:11" ht="15" thickBot="1">
      <c r="A126" s="165" t="str">
        <f t="shared" si="7"/>
        <v>7DCB</v>
      </c>
      <c r="B126" s="166">
        <f t="shared" ref="B126:B129" si="11">$B125+1</f>
        <v>103</v>
      </c>
      <c r="C126" s="126" t="s">
        <v>140</v>
      </c>
      <c r="D126" s="324"/>
      <c r="E126" s="271" t="s">
        <v>548</v>
      </c>
      <c r="F126" s="130" t="s">
        <v>609</v>
      </c>
      <c r="G126" s="324"/>
      <c r="H126" s="325"/>
      <c r="I126" s="326"/>
      <c r="J126" s="116" t="s">
        <v>100</v>
      </c>
      <c r="K126" s="118" t="s">
        <v>62</v>
      </c>
    </row>
    <row r="127" spans="1:11" ht="15" thickBot="1">
      <c r="A127" s="165" t="str">
        <f t="shared" si="7"/>
        <v>7DCC</v>
      </c>
      <c r="B127" s="166">
        <f t="shared" si="11"/>
        <v>104</v>
      </c>
      <c r="C127" s="126" t="s">
        <v>140</v>
      </c>
      <c r="D127" s="324"/>
      <c r="E127" s="271" t="s">
        <v>549</v>
      </c>
      <c r="F127" s="130" t="s">
        <v>631</v>
      </c>
      <c r="G127" s="324"/>
      <c r="H127" s="325"/>
      <c r="I127" s="326"/>
      <c r="J127" s="116" t="s">
        <v>100</v>
      </c>
      <c r="K127" s="118" t="s">
        <v>62</v>
      </c>
    </row>
    <row r="128" spans="1:11" ht="15" thickBot="1">
      <c r="A128" s="165" t="str">
        <f t="shared" si="7"/>
        <v>7DCD</v>
      </c>
      <c r="B128" s="166">
        <f t="shared" si="11"/>
        <v>105</v>
      </c>
      <c r="C128" s="126" t="s">
        <v>140</v>
      </c>
      <c r="D128" s="324"/>
      <c r="E128" s="271" t="s">
        <v>550</v>
      </c>
      <c r="F128" s="130" t="s">
        <v>632</v>
      </c>
      <c r="G128" s="315"/>
      <c r="H128" s="317"/>
      <c r="I128" s="326"/>
      <c r="J128" s="116" t="s">
        <v>100</v>
      </c>
      <c r="K128" s="118" t="s">
        <v>62</v>
      </c>
    </row>
    <row r="129" spans="1:11" ht="15" thickBot="1">
      <c r="A129" s="165" t="str">
        <f t="shared" si="7"/>
        <v>7DCE</v>
      </c>
      <c r="B129" s="166">
        <f t="shared" si="11"/>
        <v>106</v>
      </c>
      <c r="C129" s="126" t="s">
        <v>140</v>
      </c>
      <c r="D129" s="324"/>
      <c r="E129" s="271" t="s">
        <v>551</v>
      </c>
      <c r="F129" s="130" t="s">
        <v>633</v>
      </c>
      <c r="G129" s="314" t="s">
        <v>253</v>
      </c>
      <c r="H129" s="316" t="s">
        <v>254</v>
      </c>
      <c r="I129" s="326"/>
      <c r="J129" s="116" t="s">
        <v>100</v>
      </c>
      <c r="K129" s="118" t="s">
        <v>62</v>
      </c>
    </row>
    <row r="130" spans="1:11" ht="15" thickBot="1">
      <c r="A130" s="165" t="str">
        <f t="shared" si="7"/>
        <v>7DCF</v>
      </c>
      <c r="B130" s="166">
        <f t="shared" ref="B130:B133" si="12">$B129+1</f>
        <v>107</v>
      </c>
      <c r="C130" s="126" t="s">
        <v>140</v>
      </c>
      <c r="D130" s="324"/>
      <c r="E130" s="271" t="s">
        <v>552</v>
      </c>
      <c r="F130" s="130" t="s">
        <v>634</v>
      </c>
      <c r="G130" s="324"/>
      <c r="H130" s="325"/>
      <c r="I130" s="326"/>
      <c r="J130" s="116" t="s">
        <v>100</v>
      </c>
      <c r="K130" s="118" t="s">
        <v>62</v>
      </c>
    </row>
    <row r="131" spans="1:11" ht="15" thickBot="1">
      <c r="A131" s="165" t="str">
        <f t="shared" si="7"/>
        <v>7DD0</v>
      </c>
      <c r="B131" s="166">
        <f t="shared" si="12"/>
        <v>108</v>
      </c>
      <c r="C131" s="126" t="s">
        <v>140</v>
      </c>
      <c r="D131" s="324"/>
      <c r="E131" s="271" t="s">
        <v>553</v>
      </c>
      <c r="F131" s="130" t="s">
        <v>612</v>
      </c>
      <c r="G131" s="324"/>
      <c r="H131" s="325"/>
      <c r="I131" s="326"/>
      <c r="J131" s="116" t="s">
        <v>100</v>
      </c>
      <c r="K131" s="118" t="s">
        <v>62</v>
      </c>
    </row>
    <row r="132" spans="1:11" ht="15" thickBot="1">
      <c r="A132" s="165" t="str">
        <f t="shared" si="7"/>
        <v>7DD1</v>
      </c>
      <c r="B132" s="166">
        <f t="shared" si="12"/>
        <v>109</v>
      </c>
      <c r="C132" s="126" t="s">
        <v>140</v>
      </c>
      <c r="D132" s="324"/>
      <c r="E132" s="271" t="s">
        <v>554</v>
      </c>
      <c r="F132" s="130" t="s">
        <v>597</v>
      </c>
      <c r="G132" s="315"/>
      <c r="H132" s="317"/>
      <c r="I132" s="326"/>
      <c r="J132" s="116" t="s">
        <v>100</v>
      </c>
      <c r="K132" s="118" t="s">
        <v>62</v>
      </c>
    </row>
    <row r="133" spans="1:11" ht="15" thickBot="1">
      <c r="A133" s="165" t="str">
        <f t="shared" si="7"/>
        <v>7DD2</v>
      </c>
      <c r="B133" s="166">
        <f t="shared" si="12"/>
        <v>110</v>
      </c>
      <c r="C133" s="126" t="s">
        <v>140</v>
      </c>
      <c r="D133" s="324"/>
      <c r="E133" s="271" t="s">
        <v>555</v>
      </c>
      <c r="F133" s="130" t="s">
        <v>635</v>
      </c>
      <c r="G133" s="314" t="s">
        <v>255</v>
      </c>
      <c r="H133" s="316" t="s">
        <v>256</v>
      </c>
      <c r="I133" s="326"/>
      <c r="J133" s="116" t="s">
        <v>100</v>
      </c>
      <c r="K133" s="118" t="s">
        <v>62</v>
      </c>
    </row>
    <row r="134" spans="1:11" ht="15" thickBot="1">
      <c r="A134" s="165" t="str">
        <f t="shared" si="7"/>
        <v>7DD3</v>
      </c>
      <c r="B134" s="166">
        <f t="shared" ref="B134:B137" si="13">$B133+1</f>
        <v>111</v>
      </c>
      <c r="C134" s="126" t="s">
        <v>140</v>
      </c>
      <c r="D134" s="324"/>
      <c r="E134" s="271" t="s">
        <v>556</v>
      </c>
      <c r="F134" s="130" t="s">
        <v>581</v>
      </c>
      <c r="G134" s="324"/>
      <c r="H134" s="325"/>
      <c r="I134" s="326"/>
      <c r="J134" s="116" t="s">
        <v>100</v>
      </c>
      <c r="K134" s="118" t="s">
        <v>62</v>
      </c>
    </row>
    <row r="135" spans="1:11" ht="15" thickBot="1">
      <c r="A135" s="165" t="str">
        <f t="shared" si="7"/>
        <v>7DD4</v>
      </c>
      <c r="B135" s="166">
        <f t="shared" si="13"/>
        <v>112</v>
      </c>
      <c r="C135" s="126" t="s">
        <v>140</v>
      </c>
      <c r="D135" s="324"/>
      <c r="E135" s="271" t="s">
        <v>557</v>
      </c>
      <c r="F135" s="130" t="s">
        <v>581</v>
      </c>
      <c r="G135" s="324"/>
      <c r="H135" s="325"/>
      <c r="I135" s="326"/>
      <c r="J135" s="116" t="s">
        <v>100</v>
      </c>
      <c r="K135" s="118" t="s">
        <v>62</v>
      </c>
    </row>
    <row r="136" spans="1:11" ht="15" thickBot="1">
      <c r="A136" s="165" t="str">
        <f t="shared" si="7"/>
        <v>7DD5</v>
      </c>
      <c r="B136" s="166">
        <f t="shared" si="13"/>
        <v>113</v>
      </c>
      <c r="C136" s="126" t="s">
        <v>140</v>
      </c>
      <c r="D136" s="324"/>
      <c r="E136" s="271" t="s">
        <v>558</v>
      </c>
      <c r="F136" s="130" t="s">
        <v>581</v>
      </c>
      <c r="G136" s="315"/>
      <c r="H136" s="317"/>
      <c r="I136" s="326"/>
      <c r="J136" s="116" t="s">
        <v>100</v>
      </c>
      <c r="K136" s="118" t="s">
        <v>62</v>
      </c>
    </row>
    <row r="137" spans="1:11" ht="15" thickBot="1">
      <c r="A137" s="165" t="str">
        <f t="shared" si="7"/>
        <v>7DD6</v>
      </c>
      <c r="B137" s="166">
        <f t="shared" si="13"/>
        <v>114</v>
      </c>
      <c r="C137" s="126" t="s">
        <v>140</v>
      </c>
      <c r="D137" s="324"/>
      <c r="E137" s="271" t="s">
        <v>559</v>
      </c>
      <c r="F137" s="130" t="s">
        <v>581</v>
      </c>
      <c r="G137" s="314" t="s">
        <v>257</v>
      </c>
      <c r="H137" s="316" t="s">
        <v>120</v>
      </c>
      <c r="I137" s="326"/>
      <c r="J137" s="116" t="s">
        <v>100</v>
      </c>
      <c r="K137" s="118" t="s">
        <v>62</v>
      </c>
    </row>
    <row r="138" spans="1:11" ht="15" thickBot="1">
      <c r="A138" s="165" t="str">
        <f t="shared" si="7"/>
        <v>7DD7</v>
      </c>
      <c r="B138" s="166">
        <f t="shared" ref="B138:B141" si="14">$B137+1</f>
        <v>115</v>
      </c>
      <c r="C138" s="126" t="s">
        <v>140</v>
      </c>
      <c r="D138" s="324"/>
      <c r="E138" s="271" t="s">
        <v>560</v>
      </c>
      <c r="F138" s="130" t="s">
        <v>581</v>
      </c>
      <c r="G138" s="324"/>
      <c r="H138" s="325"/>
      <c r="I138" s="326"/>
      <c r="J138" s="116" t="s">
        <v>100</v>
      </c>
      <c r="K138" s="118" t="s">
        <v>62</v>
      </c>
    </row>
    <row r="139" spans="1:11" ht="15" thickBot="1">
      <c r="A139" s="165" t="str">
        <f t="shared" si="7"/>
        <v>7DD8</v>
      </c>
      <c r="B139" s="166">
        <f t="shared" si="14"/>
        <v>116</v>
      </c>
      <c r="C139" s="126" t="s">
        <v>140</v>
      </c>
      <c r="D139" s="324"/>
      <c r="E139" s="271" t="s">
        <v>561</v>
      </c>
      <c r="F139" s="130" t="s">
        <v>581</v>
      </c>
      <c r="G139" s="324"/>
      <c r="H139" s="325"/>
      <c r="I139" s="326"/>
      <c r="J139" s="116" t="s">
        <v>100</v>
      </c>
      <c r="K139" s="118" t="s">
        <v>62</v>
      </c>
    </row>
    <row r="140" spans="1:11" ht="15" thickBot="1">
      <c r="A140" s="165" t="str">
        <f t="shared" si="7"/>
        <v>7DD9</v>
      </c>
      <c r="B140" s="166">
        <f t="shared" si="14"/>
        <v>117</v>
      </c>
      <c r="C140" s="126" t="s">
        <v>140</v>
      </c>
      <c r="D140" s="324"/>
      <c r="E140" s="271" t="s">
        <v>562</v>
      </c>
      <c r="F140" s="130" t="s">
        <v>581</v>
      </c>
      <c r="G140" s="315"/>
      <c r="H140" s="317"/>
      <c r="I140" s="326"/>
      <c r="J140" s="116" t="s">
        <v>100</v>
      </c>
      <c r="K140" s="118" t="s">
        <v>62</v>
      </c>
    </row>
    <row r="141" spans="1:11" ht="15" thickBot="1">
      <c r="A141" s="165" t="str">
        <f t="shared" si="7"/>
        <v>7DDA</v>
      </c>
      <c r="B141" s="166">
        <f t="shared" si="14"/>
        <v>118</v>
      </c>
      <c r="C141" s="126" t="s">
        <v>140</v>
      </c>
      <c r="D141" s="324"/>
      <c r="E141" s="271" t="s">
        <v>563</v>
      </c>
      <c r="F141" s="130" t="s">
        <v>581</v>
      </c>
      <c r="G141" s="314" t="s">
        <v>258</v>
      </c>
      <c r="H141" s="316" t="s">
        <v>120</v>
      </c>
      <c r="I141" s="326"/>
      <c r="J141" s="116" t="s">
        <v>100</v>
      </c>
      <c r="K141" s="118" t="s">
        <v>62</v>
      </c>
    </row>
    <row r="142" spans="1:11" ht="15" thickBot="1">
      <c r="A142" s="165" t="str">
        <f t="shared" si="7"/>
        <v>7DDB</v>
      </c>
      <c r="B142" s="166">
        <f t="shared" ref="B142:B144" si="15">$B141+1</f>
        <v>119</v>
      </c>
      <c r="C142" s="126" t="s">
        <v>140</v>
      </c>
      <c r="D142" s="324"/>
      <c r="E142" s="271" t="s">
        <v>564</v>
      </c>
      <c r="F142" s="130" t="s">
        <v>581</v>
      </c>
      <c r="G142" s="324"/>
      <c r="H142" s="325"/>
      <c r="I142" s="326"/>
      <c r="J142" s="116" t="s">
        <v>100</v>
      </c>
      <c r="K142" s="118" t="s">
        <v>62</v>
      </c>
    </row>
    <row r="143" spans="1:11" ht="15" thickBot="1">
      <c r="A143" s="165" t="str">
        <f t="shared" si="7"/>
        <v>7DDC</v>
      </c>
      <c r="B143" s="166">
        <f t="shared" si="15"/>
        <v>120</v>
      </c>
      <c r="C143" s="126" t="s">
        <v>140</v>
      </c>
      <c r="D143" s="324"/>
      <c r="E143" s="271" t="s">
        <v>565</v>
      </c>
      <c r="F143" s="130" t="s">
        <v>581</v>
      </c>
      <c r="G143" s="324"/>
      <c r="H143" s="325"/>
      <c r="I143" s="326"/>
      <c r="J143" s="116" t="s">
        <v>100</v>
      </c>
      <c r="K143" s="118" t="s">
        <v>62</v>
      </c>
    </row>
    <row r="144" spans="1:11" ht="15" thickBot="1">
      <c r="A144" s="165" t="str">
        <f t="shared" si="7"/>
        <v>7DDD</v>
      </c>
      <c r="B144" s="166">
        <f t="shared" si="15"/>
        <v>121</v>
      </c>
      <c r="C144" s="126" t="s">
        <v>140</v>
      </c>
      <c r="D144" s="324"/>
      <c r="E144" s="271" t="s">
        <v>566</v>
      </c>
      <c r="F144" s="130" t="s">
        <v>581</v>
      </c>
      <c r="G144" s="315"/>
      <c r="H144" s="317"/>
      <c r="I144" s="326"/>
      <c r="J144" s="116" t="s">
        <v>100</v>
      </c>
      <c r="K144" s="118" t="s">
        <v>62</v>
      </c>
    </row>
    <row r="145" spans="1:11" ht="90" customHeight="1" thickBot="1">
      <c r="A145" s="165" t="str">
        <f t="shared" si="7"/>
        <v>7DDE</v>
      </c>
      <c r="B145" s="166">
        <f t="shared" ref="B145:B158" si="16">$B144+1</f>
        <v>122</v>
      </c>
      <c r="C145" s="126" t="s">
        <v>140</v>
      </c>
      <c r="D145" s="324"/>
      <c r="E145" s="271" t="s">
        <v>567</v>
      </c>
      <c r="F145" s="130" t="s">
        <v>640</v>
      </c>
      <c r="G145" s="314" t="s">
        <v>638</v>
      </c>
      <c r="H145" s="316" t="s">
        <v>259</v>
      </c>
      <c r="I145" s="326"/>
      <c r="J145" s="116" t="s">
        <v>100</v>
      </c>
      <c r="K145" s="118" t="s">
        <v>62</v>
      </c>
    </row>
    <row r="146" spans="1:11" ht="36.65" customHeight="1" thickBot="1">
      <c r="A146" s="165" t="str">
        <f t="shared" si="7"/>
        <v>7DDF</v>
      </c>
      <c r="B146" s="166">
        <f t="shared" si="16"/>
        <v>123</v>
      </c>
      <c r="C146" s="126" t="s">
        <v>140</v>
      </c>
      <c r="D146" s="324"/>
      <c r="E146" s="271" t="s">
        <v>568</v>
      </c>
      <c r="F146" s="130" t="s">
        <v>618</v>
      </c>
      <c r="G146" s="315"/>
      <c r="H146" s="317"/>
      <c r="I146" s="326"/>
      <c r="J146" s="116" t="s">
        <v>100</v>
      </c>
      <c r="K146" s="118" t="s">
        <v>62</v>
      </c>
    </row>
    <row r="147" spans="1:11" ht="21.65" customHeight="1" thickBot="1">
      <c r="A147" s="165" t="str">
        <f t="shared" si="7"/>
        <v>7DE0</v>
      </c>
      <c r="B147" s="166">
        <f t="shared" si="16"/>
        <v>124</v>
      </c>
      <c r="C147" s="126" t="s">
        <v>140</v>
      </c>
      <c r="D147" s="324"/>
      <c r="E147" s="271" t="s">
        <v>569</v>
      </c>
      <c r="F147" s="130" t="s">
        <v>581</v>
      </c>
      <c r="G147" s="314" t="s">
        <v>638</v>
      </c>
      <c r="H147" s="316" t="s">
        <v>639</v>
      </c>
      <c r="I147" s="326"/>
      <c r="J147" s="116"/>
      <c r="K147" s="118"/>
    </row>
    <row r="148" spans="1:11" ht="21.65" customHeight="1" thickBot="1">
      <c r="A148" s="165" t="str">
        <f t="shared" si="7"/>
        <v>7DE1</v>
      </c>
      <c r="B148" s="166">
        <f t="shared" si="16"/>
        <v>125</v>
      </c>
      <c r="C148" s="126" t="s">
        <v>140</v>
      </c>
      <c r="D148" s="324"/>
      <c r="E148" s="271" t="s">
        <v>570</v>
      </c>
      <c r="F148" s="130" t="s">
        <v>581</v>
      </c>
      <c r="G148" s="315"/>
      <c r="H148" s="317"/>
      <c r="I148" s="326"/>
      <c r="J148" s="116"/>
      <c r="K148" s="118"/>
    </row>
    <row r="149" spans="1:11" ht="15" thickBot="1">
      <c r="A149" s="165" t="str">
        <f t="shared" si="7"/>
        <v>7DE2</v>
      </c>
      <c r="B149" s="166">
        <f t="shared" si="16"/>
        <v>126</v>
      </c>
      <c r="C149" s="126" t="s">
        <v>140</v>
      </c>
      <c r="D149" s="324"/>
      <c r="E149" s="271" t="s">
        <v>575</v>
      </c>
      <c r="F149" s="130" t="s">
        <v>641</v>
      </c>
      <c r="G149" s="314" t="s">
        <v>260</v>
      </c>
      <c r="H149" s="316" t="s">
        <v>261</v>
      </c>
      <c r="I149" s="326"/>
      <c r="J149" s="116" t="s">
        <v>100</v>
      </c>
      <c r="K149" s="118" t="s">
        <v>62</v>
      </c>
    </row>
    <row r="150" spans="1:11" ht="15" thickBot="1">
      <c r="A150" s="165" t="str">
        <f t="shared" si="7"/>
        <v>7DE3</v>
      </c>
      <c r="B150" s="166">
        <f t="shared" si="16"/>
        <v>127</v>
      </c>
      <c r="C150" s="126" t="s">
        <v>140</v>
      </c>
      <c r="D150" s="324"/>
      <c r="E150" s="271" t="s">
        <v>571</v>
      </c>
      <c r="F150" s="130" t="s">
        <v>581</v>
      </c>
      <c r="G150" s="324"/>
      <c r="H150" s="325"/>
      <c r="I150" s="326"/>
      <c r="J150" s="116" t="s">
        <v>100</v>
      </c>
      <c r="K150" s="118" t="s">
        <v>62</v>
      </c>
    </row>
    <row r="151" spans="1:11" ht="15" thickBot="1">
      <c r="A151" s="165" t="str">
        <f t="shared" si="7"/>
        <v>7DE4</v>
      </c>
      <c r="B151" s="166">
        <f t="shared" si="16"/>
        <v>128</v>
      </c>
      <c r="C151" s="126" t="s">
        <v>140</v>
      </c>
      <c r="D151" s="324"/>
      <c r="E151" s="271" t="s">
        <v>572</v>
      </c>
      <c r="F151" s="130" t="s">
        <v>642</v>
      </c>
      <c r="G151" s="324"/>
      <c r="H151" s="325"/>
      <c r="I151" s="326"/>
      <c r="J151" s="116" t="s">
        <v>100</v>
      </c>
      <c r="K151" s="118" t="s">
        <v>62</v>
      </c>
    </row>
    <row r="152" spans="1:11" ht="15" thickBot="1">
      <c r="A152" s="165" t="str">
        <f t="shared" si="7"/>
        <v>7DE5</v>
      </c>
      <c r="B152" s="166">
        <f t="shared" si="16"/>
        <v>129</v>
      </c>
      <c r="C152" s="126" t="s">
        <v>140</v>
      </c>
      <c r="D152" s="324"/>
      <c r="E152" s="271" t="s">
        <v>573</v>
      </c>
      <c r="F152" s="130" t="s">
        <v>643</v>
      </c>
      <c r="G152" s="315"/>
      <c r="H152" s="317"/>
      <c r="I152" s="326"/>
      <c r="J152" s="116" t="s">
        <v>100</v>
      </c>
      <c r="K152" s="118" t="s">
        <v>62</v>
      </c>
    </row>
    <row r="153" spans="1:11" ht="15" thickBot="1">
      <c r="A153" s="165" t="str">
        <f t="shared" si="7"/>
        <v>7DE6</v>
      </c>
      <c r="B153" s="166">
        <f t="shared" si="16"/>
        <v>130</v>
      </c>
      <c r="C153" s="126" t="s">
        <v>140</v>
      </c>
      <c r="D153" s="324"/>
      <c r="E153" s="271" t="s">
        <v>574</v>
      </c>
      <c r="F153" s="130" t="s">
        <v>604</v>
      </c>
      <c r="G153" s="314" t="s">
        <v>262</v>
      </c>
      <c r="H153" s="316" t="s">
        <v>263</v>
      </c>
      <c r="I153" s="326"/>
      <c r="J153" s="116" t="s">
        <v>100</v>
      </c>
      <c r="K153" s="118" t="s">
        <v>62</v>
      </c>
    </row>
    <row r="154" spans="1:11" ht="15" thickBot="1">
      <c r="A154" s="165" t="str">
        <f t="shared" si="7"/>
        <v>7DE7</v>
      </c>
      <c r="B154" s="166">
        <f t="shared" si="16"/>
        <v>131</v>
      </c>
      <c r="C154" s="126" t="s">
        <v>140</v>
      </c>
      <c r="D154" s="324"/>
      <c r="E154" s="271" t="s">
        <v>576</v>
      </c>
      <c r="F154" s="130" t="s">
        <v>644</v>
      </c>
      <c r="G154" s="324"/>
      <c r="H154" s="325"/>
      <c r="I154" s="326"/>
      <c r="J154" s="116" t="s">
        <v>100</v>
      </c>
      <c r="K154" s="118" t="s">
        <v>62</v>
      </c>
    </row>
    <row r="155" spans="1:11" ht="15" thickBot="1">
      <c r="A155" s="165" t="str">
        <f t="shared" si="7"/>
        <v>7DE8</v>
      </c>
      <c r="B155" s="166">
        <f t="shared" si="16"/>
        <v>132</v>
      </c>
      <c r="C155" s="126" t="s">
        <v>140</v>
      </c>
      <c r="D155" s="324"/>
      <c r="E155" s="271" t="s">
        <v>636</v>
      </c>
      <c r="F155" s="363" t="s">
        <v>615</v>
      </c>
      <c r="G155" s="324"/>
      <c r="H155" s="325"/>
      <c r="I155" s="326"/>
      <c r="J155" s="116" t="s">
        <v>100</v>
      </c>
      <c r="K155" s="118" t="s">
        <v>62</v>
      </c>
    </row>
    <row r="156" spans="1:11" ht="15" thickBot="1">
      <c r="A156" s="165" t="str">
        <f t="shared" si="7"/>
        <v>7DE9</v>
      </c>
      <c r="B156" s="166">
        <f t="shared" si="16"/>
        <v>133</v>
      </c>
      <c r="C156" s="126" t="s">
        <v>140</v>
      </c>
      <c r="D156" s="324"/>
      <c r="E156" s="271" t="s">
        <v>637</v>
      </c>
      <c r="F156" s="178" t="s">
        <v>581</v>
      </c>
      <c r="G156" s="315"/>
      <c r="H156" s="317"/>
      <c r="I156" s="326"/>
      <c r="J156" s="116" t="s">
        <v>100</v>
      </c>
      <c r="K156" s="118" t="s">
        <v>62</v>
      </c>
    </row>
    <row r="157" spans="1:11" ht="15" thickBot="1">
      <c r="A157" s="165" t="str">
        <f t="shared" si="7"/>
        <v>7DEA</v>
      </c>
      <c r="B157" s="166">
        <f t="shared" si="16"/>
        <v>134</v>
      </c>
      <c r="C157" s="126" t="s">
        <v>140</v>
      </c>
      <c r="D157" s="324"/>
      <c r="E157" s="314" t="s">
        <v>226</v>
      </c>
      <c r="F157" s="112" t="str" cm="1">
        <f t="array" ref="F157">LEFT(CalculateCRC16(F9:F156),2)</f>
        <v>56</v>
      </c>
      <c r="G157" s="314" t="s">
        <v>227</v>
      </c>
      <c r="H157" s="316" t="str">
        <f>CONCATENATE("CRC from byte ",B9," to ",B157-1)</f>
        <v>CRC from byte 0 to 133</v>
      </c>
      <c r="I157" s="326"/>
      <c r="J157" s="116" t="s">
        <v>100</v>
      </c>
      <c r="K157" s="118" t="s">
        <v>62</v>
      </c>
    </row>
    <row r="158" spans="1:11" ht="15" thickBot="1">
      <c r="A158" s="165" t="str">
        <f t="shared" si="7"/>
        <v>7DEB</v>
      </c>
      <c r="B158" s="166">
        <f t="shared" si="16"/>
        <v>135</v>
      </c>
      <c r="C158" s="126" t="s">
        <v>140</v>
      </c>
      <c r="D158" s="315"/>
      <c r="E158" s="315"/>
      <c r="F158" s="112" t="str" cm="1">
        <f t="array" ref="F158">RIGHT(CalculateCRC16(F9:F156),2)</f>
        <v>3D</v>
      </c>
      <c r="G158" s="315"/>
      <c r="H158" s="317"/>
      <c r="I158" s="327"/>
      <c r="J158" s="116" t="s">
        <v>100</v>
      </c>
      <c r="K158" s="118" t="s">
        <v>62</v>
      </c>
    </row>
    <row r="159" spans="1:11" ht="15" thickBot="1">
      <c r="A159" s="165" t="str">
        <f t="shared" si="7"/>
        <v>7DEC</v>
      </c>
      <c r="B159" s="167"/>
      <c r="C159" s="126"/>
      <c r="D159" s="129"/>
      <c r="E159" s="112"/>
      <c r="F159" s="112"/>
      <c r="G159" s="112"/>
      <c r="H159" s="113"/>
      <c r="I159" s="129"/>
      <c r="J159" s="116" t="s">
        <v>100</v>
      </c>
      <c r="K159" s="118" t="s">
        <v>62</v>
      </c>
    </row>
    <row r="160" spans="1:11">
      <c r="A160" s="168" t="str">
        <f>DEC2HEX(HEX2DEC(Mapping!M55)-1)</f>
        <v>7FFF</v>
      </c>
      <c r="B160" s="169">
        <f>HEX2DEC(A160)-HEX2DEC(A159)+1</f>
        <v>532</v>
      </c>
      <c r="C160" s="135"/>
      <c r="D160" s="328" t="s">
        <v>645</v>
      </c>
      <c r="E160" s="329"/>
      <c r="F160" s="170"/>
      <c r="G160" s="124"/>
      <c r="H160" s="124"/>
      <c r="I160" s="124"/>
      <c r="J160" s="136"/>
      <c r="K160" s="136"/>
    </row>
    <row r="162" spans="6:6">
      <c r="F162" s="111"/>
    </row>
    <row r="163" spans="6:6">
      <c r="F163" s="111"/>
    </row>
    <row r="164" spans="6:6">
      <c r="F164" s="111"/>
    </row>
    <row r="165" spans="6:6">
      <c r="F165" s="111"/>
    </row>
    <row r="166" spans="6:6">
      <c r="F166" s="111"/>
    </row>
    <row r="167" spans="6:6">
      <c r="F167" s="111"/>
    </row>
    <row r="168" spans="6:6">
      <c r="F168" s="111"/>
    </row>
    <row r="169" spans="6:6">
      <c r="F169" s="111"/>
    </row>
    <row r="170" spans="6:6">
      <c r="F170" s="111"/>
    </row>
    <row r="171" spans="6:6">
      <c r="F171" s="111"/>
    </row>
    <row r="172" spans="6:6">
      <c r="F172" s="111"/>
    </row>
    <row r="173" spans="6:6">
      <c r="F173" s="111"/>
    </row>
    <row r="174" spans="6:6">
      <c r="F174" s="111"/>
    </row>
    <row r="175" spans="6:6">
      <c r="F175" s="111"/>
    </row>
    <row r="176" spans="6:6">
      <c r="F176" s="111"/>
    </row>
    <row r="177" spans="6:6">
      <c r="F177" s="111"/>
    </row>
    <row r="178" spans="6:6">
      <c r="F178" s="111"/>
    </row>
    <row r="179" spans="6:6">
      <c r="F179" s="111"/>
    </row>
    <row r="180" spans="6:6">
      <c r="F180" s="111"/>
    </row>
    <row r="181" spans="6:6">
      <c r="F181" s="111"/>
    </row>
    <row r="182" spans="6:6">
      <c r="F182" s="111"/>
    </row>
    <row r="183" spans="6:6">
      <c r="F183" s="111"/>
    </row>
    <row r="184" spans="6:6">
      <c r="F184" s="111"/>
    </row>
  </sheetData>
  <mergeCells count="103">
    <mergeCell ref="D160:E160"/>
    <mergeCell ref="A20:A21"/>
    <mergeCell ref="B20:B21"/>
    <mergeCell ref="A27:A32"/>
    <mergeCell ref="B27:B32"/>
    <mergeCell ref="B23:B24"/>
    <mergeCell ref="E157:E158"/>
    <mergeCell ref="B13:B19"/>
    <mergeCell ref="A25:A26"/>
    <mergeCell ref="B25:B26"/>
    <mergeCell ref="D113:D158"/>
    <mergeCell ref="D9:D90"/>
    <mergeCell ref="A13:A19"/>
    <mergeCell ref="A23:A24"/>
    <mergeCell ref="D91:D112"/>
    <mergeCell ref="E9:E12"/>
    <mergeCell ref="E13:E19"/>
    <mergeCell ref="E20:E21"/>
    <mergeCell ref="E23:E24"/>
    <mergeCell ref="E25:E26"/>
    <mergeCell ref="E27:E32"/>
    <mergeCell ref="I41:I42"/>
    <mergeCell ref="H43:H44"/>
    <mergeCell ref="I43:I44"/>
    <mergeCell ref="G41:G42"/>
    <mergeCell ref="G43:G44"/>
    <mergeCell ref="G47:G48"/>
    <mergeCell ref="H47:H48"/>
    <mergeCell ref="H41:H42"/>
    <mergeCell ref="I47:I48"/>
    <mergeCell ref="G49:G50"/>
    <mergeCell ref="H49:H50"/>
    <mergeCell ref="I49:I50"/>
    <mergeCell ref="I91:I112"/>
    <mergeCell ref="I113:I158"/>
    <mergeCell ref="H45:H46"/>
    <mergeCell ref="I45:I46"/>
    <mergeCell ref="G45:G46"/>
    <mergeCell ref="G55:G56"/>
    <mergeCell ref="H55:H56"/>
    <mergeCell ref="I55:I56"/>
    <mergeCell ref="G57:G58"/>
    <mergeCell ref="H57:H58"/>
    <mergeCell ref="I57:I58"/>
    <mergeCell ref="G51:G52"/>
    <mergeCell ref="H51:H52"/>
    <mergeCell ref="I51:I52"/>
    <mergeCell ref="G53:G54"/>
    <mergeCell ref="H53:H54"/>
    <mergeCell ref="I53:I54"/>
    <mergeCell ref="G75:G76"/>
    <mergeCell ref="H75:H76"/>
    <mergeCell ref="G77:G78"/>
    <mergeCell ref="H77:H78"/>
    <mergeCell ref="G79:G80"/>
    <mergeCell ref="H79:H80"/>
    <mergeCell ref="G69:G70"/>
    <mergeCell ref="H69:H70"/>
    <mergeCell ref="G71:G72"/>
    <mergeCell ref="H71:H72"/>
    <mergeCell ref="G73:G74"/>
    <mergeCell ref="H73:H74"/>
    <mergeCell ref="H113:H116"/>
    <mergeCell ref="H133:H136"/>
    <mergeCell ref="G113:G116"/>
    <mergeCell ref="G117:G120"/>
    <mergeCell ref="H117:H120"/>
    <mergeCell ref="G121:G124"/>
    <mergeCell ref="H121:H124"/>
    <mergeCell ref="G81:G82"/>
    <mergeCell ref="H81:H82"/>
    <mergeCell ref="G89:G90"/>
    <mergeCell ref="H89:H90"/>
    <mergeCell ref="G83:G84"/>
    <mergeCell ref="H83:H84"/>
    <mergeCell ref="G85:G86"/>
    <mergeCell ref="H85:H86"/>
    <mergeCell ref="G87:G88"/>
    <mergeCell ref="H87:H88"/>
    <mergeCell ref="G147:G148"/>
    <mergeCell ref="H147:H148"/>
    <mergeCell ref="F13:F19"/>
    <mergeCell ref="F20:F21"/>
    <mergeCell ref="F23:F24"/>
    <mergeCell ref="F25:F26"/>
    <mergeCell ref="F27:F32"/>
    <mergeCell ref="G157:G158"/>
    <mergeCell ref="H157:H158"/>
    <mergeCell ref="G149:G152"/>
    <mergeCell ref="H149:H152"/>
    <mergeCell ref="G153:G156"/>
    <mergeCell ref="H153:H156"/>
    <mergeCell ref="G137:G140"/>
    <mergeCell ref="H137:H140"/>
    <mergeCell ref="G141:G144"/>
    <mergeCell ref="H141:H144"/>
    <mergeCell ref="G145:G146"/>
    <mergeCell ref="H145:H146"/>
    <mergeCell ref="G125:G128"/>
    <mergeCell ref="H125:H128"/>
    <mergeCell ref="G129:G132"/>
    <mergeCell ref="H129:H132"/>
    <mergeCell ref="G133:G136"/>
  </mergeCells>
  <phoneticPr fontId="4" type="noConversion"/>
  <pageMargins left="0.7" right="0.7" top="0.75" bottom="0.75" header="0.3" footer="0.3"/>
  <pageSetup orientation="portrait" r:id="rId1"/>
  <ignoredErrors>
    <ignoredError sqref="C11:C23 C25:C3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MtpConfigBinGen">
                <anchor moveWithCells="1">
                  <from>
                    <xdr:col>5</xdr:col>
                    <xdr:colOff>25400</xdr:colOff>
                    <xdr:row>5</xdr:row>
                    <xdr:rowOff>0</xdr:rowOff>
                  </from>
                  <to>
                    <xdr:col>6</xdr:col>
                    <xdr:colOff>12700</xdr:colOff>
                    <xdr:row>6</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6D370-7044-4A85-84A6-3E883715BD5C}">
  <dimension ref="A1:I16"/>
  <sheetViews>
    <sheetView zoomScale="70" zoomScaleNormal="70" workbookViewId="0">
      <selection activeCell="H26" sqref="H26"/>
    </sheetView>
  </sheetViews>
  <sheetFormatPr defaultRowHeight="14.5"/>
  <cols>
    <col min="1" max="1" width="32.08984375" customWidth="1"/>
    <col min="2" max="2" width="15.453125" customWidth="1"/>
    <col min="3" max="3" width="25.453125" customWidth="1"/>
    <col min="4" max="4" width="35.08984375" customWidth="1"/>
    <col min="5" max="5" width="67.453125" customWidth="1"/>
    <col min="6" max="6" width="67.90625" customWidth="1"/>
    <col min="8" max="8" width="12.453125" customWidth="1"/>
    <col min="9" max="9" width="12.26953125" customWidth="1"/>
  </cols>
  <sheetData>
    <row r="1" spans="1:9" ht="15" customHeight="1">
      <c r="A1" t="s">
        <v>346</v>
      </c>
    </row>
    <row r="2" spans="1:9" ht="15" customHeight="1"/>
    <row r="3" spans="1:9" ht="15" customHeight="1"/>
    <row r="4" spans="1:9" ht="15" customHeight="1"/>
    <row r="5" spans="1:9" ht="15" customHeight="1" thickBot="1">
      <c r="A5" t="s">
        <v>44</v>
      </c>
      <c r="B5" t="s">
        <v>343</v>
      </c>
      <c r="C5" t="s">
        <v>344</v>
      </c>
      <c r="D5" t="s">
        <v>345</v>
      </c>
      <c r="F5" t="s">
        <v>348</v>
      </c>
    </row>
    <row r="6" spans="1:9" ht="15" customHeight="1" thickBot="1">
      <c r="A6" s="89" t="s">
        <v>58</v>
      </c>
      <c r="B6" s="89">
        <v>6</v>
      </c>
      <c r="C6" s="89" t="s">
        <v>342</v>
      </c>
      <c r="D6" s="92" t="s">
        <v>63</v>
      </c>
      <c r="E6" s="145" t="s">
        <v>347</v>
      </c>
      <c r="F6" s="146" t="s">
        <v>350</v>
      </c>
      <c r="H6" s="347" t="s">
        <v>649</v>
      </c>
      <c r="I6" s="348"/>
    </row>
    <row r="7" spans="1:9" ht="15" customHeight="1">
      <c r="A7" s="90" t="s">
        <v>64</v>
      </c>
      <c r="B7" s="90">
        <v>1</v>
      </c>
      <c r="C7" s="90" t="s">
        <v>65</v>
      </c>
      <c r="D7" s="93" t="s">
        <v>66</v>
      </c>
      <c r="E7" s="145" t="s">
        <v>356</v>
      </c>
      <c r="F7" s="146" t="s">
        <v>352</v>
      </c>
      <c r="H7" s="180" t="s">
        <v>650</v>
      </c>
      <c r="I7" s="181" t="s">
        <v>84</v>
      </c>
    </row>
    <row r="8" spans="1:9" ht="15" customHeight="1">
      <c r="A8" s="90" t="s">
        <v>67</v>
      </c>
      <c r="B8" s="90">
        <v>1</v>
      </c>
      <c r="C8" s="90" t="s">
        <v>65</v>
      </c>
      <c r="D8" s="93" t="s">
        <v>68</v>
      </c>
      <c r="E8" s="145" t="s">
        <v>356</v>
      </c>
      <c r="F8" s="146" t="s">
        <v>351</v>
      </c>
      <c r="H8" s="180" t="s">
        <v>651</v>
      </c>
      <c r="I8" s="181" t="s">
        <v>105</v>
      </c>
    </row>
    <row r="9" spans="1:9" ht="15" customHeight="1">
      <c r="A9" s="90" t="s">
        <v>69</v>
      </c>
      <c r="B9" s="90">
        <v>1</v>
      </c>
      <c r="C9" s="90" t="s">
        <v>65</v>
      </c>
      <c r="D9" s="93" t="s">
        <v>70</v>
      </c>
      <c r="E9" s="145" t="s">
        <v>356</v>
      </c>
      <c r="F9" s="146" t="s">
        <v>353</v>
      </c>
      <c r="H9" s="182" t="s">
        <v>652</v>
      </c>
      <c r="I9" s="183" t="s">
        <v>653</v>
      </c>
    </row>
    <row r="10" spans="1:9" ht="15" customHeight="1">
      <c r="A10" s="91" t="s">
        <v>654</v>
      </c>
      <c r="B10" s="91">
        <v>1</v>
      </c>
      <c r="C10" s="91" t="s">
        <v>655</v>
      </c>
      <c r="D10" s="93" t="s">
        <v>656</v>
      </c>
      <c r="E10" s="146" t="s">
        <v>657</v>
      </c>
      <c r="F10" s="146" t="s">
        <v>658</v>
      </c>
      <c r="H10" s="182" t="s">
        <v>659</v>
      </c>
      <c r="I10" s="183" t="s">
        <v>660</v>
      </c>
    </row>
    <row r="11" spans="1:9" ht="15" customHeight="1">
      <c r="A11" s="90" t="s">
        <v>71</v>
      </c>
      <c r="B11" s="90">
        <v>2</v>
      </c>
      <c r="C11" s="90" t="s">
        <v>72</v>
      </c>
      <c r="D11" s="93" t="s">
        <v>73</v>
      </c>
      <c r="E11" s="145" t="s">
        <v>355</v>
      </c>
      <c r="F11" s="146" t="s">
        <v>354</v>
      </c>
      <c r="H11" s="182" t="s">
        <v>661</v>
      </c>
      <c r="I11" s="183" t="s">
        <v>662</v>
      </c>
    </row>
    <row r="12" spans="1:9" ht="15" customHeight="1">
      <c r="H12" s="182" t="s">
        <v>663</v>
      </c>
      <c r="I12" s="183" t="s">
        <v>664</v>
      </c>
    </row>
    <row r="13" spans="1:9">
      <c r="H13" s="182" t="s">
        <v>665</v>
      </c>
      <c r="I13" s="183" t="s">
        <v>666</v>
      </c>
    </row>
    <row r="14" spans="1:9" ht="15" thickBot="1">
      <c r="H14" s="184" t="s">
        <v>667</v>
      </c>
      <c r="I14" s="185" t="s">
        <v>668</v>
      </c>
    </row>
    <row r="15" spans="1:9">
      <c r="A15" t="s">
        <v>349</v>
      </c>
    </row>
    <row r="16" spans="1:9" ht="14.75" customHeight="1"/>
  </sheetData>
  <mergeCells count="1">
    <mergeCell ref="H6:I6"/>
  </mergeCells>
  <phoneticPr fontId="36"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EDE6-3602-4B46-85B1-EB93DD02C6C9}">
  <dimension ref="C3:M8"/>
  <sheetViews>
    <sheetView workbookViewId="0">
      <selection activeCell="J19" sqref="J19"/>
    </sheetView>
  </sheetViews>
  <sheetFormatPr defaultRowHeight="14.5"/>
  <cols>
    <col min="4" max="4" width="10.453125" customWidth="1"/>
    <col min="5" max="12" width="15.453125" customWidth="1"/>
    <col min="13" max="13" width="50.453125" customWidth="1"/>
  </cols>
  <sheetData>
    <row r="3" spans="3:13" ht="15" thickBot="1"/>
    <row r="4" spans="3:13" ht="15" customHeight="1">
      <c r="C4" s="88"/>
      <c r="D4" s="186"/>
      <c r="E4" s="187" t="s">
        <v>76</v>
      </c>
      <c r="F4" s="104" t="s">
        <v>77</v>
      </c>
      <c r="G4" s="104" t="s">
        <v>78</v>
      </c>
      <c r="H4" s="104" t="s">
        <v>79</v>
      </c>
      <c r="I4" s="104" t="s">
        <v>80</v>
      </c>
      <c r="J4" s="104" t="s">
        <v>81</v>
      </c>
      <c r="K4" s="104" t="s">
        <v>82</v>
      </c>
      <c r="L4" s="103" t="s">
        <v>83</v>
      </c>
    </row>
    <row r="5" spans="3:13" ht="15" customHeight="1">
      <c r="C5" s="88"/>
      <c r="D5" s="105" t="s">
        <v>669</v>
      </c>
      <c r="E5" s="90" t="s">
        <v>670</v>
      </c>
      <c r="F5" s="90" t="s">
        <v>671</v>
      </c>
      <c r="G5" s="90" t="s">
        <v>672</v>
      </c>
      <c r="H5" s="90" t="s">
        <v>673</v>
      </c>
      <c r="I5" s="90" t="s">
        <v>674</v>
      </c>
      <c r="J5" s="90" t="s">
        <v>675</v>
      </c>
      <c r="K5" s="90" t="s">
        <v>676</v>
      </c>
      <c r="L5" s="90" t="s">
        <v>677</v>
      </c>
      <c r="M5" s="188" t="s">
        <v>678</v>
      </c>
    </row>
    <row r="6" spans="3:13" ht="15" customHeight="1">
      <c r="C6" s="88"/>
      <c r="D6" s="105" t="s">
        <v>679</v>
      </c>
      <c r="E6" s="16">
        <v>0</v>
      </c>
      <c r="F6" s="16">
        <v>0</v>
      </c>
      <c r="G6" s="16">
        <v>0</v>
      </c>
      <c r="H6" s="16">
        <v>0</v>
      </c>
      <c r="I6" s="90" t="s">
        <v>680</v>
      </c>
      <c r="J6" s="90" t="s">
        <v>681</v>
      </c>
      <c r="K6" s="90" t="s">
        <v>682</v>
      </c>
      <c r="L6" s="90" t="s">
        <v>683</v>
      </c>
    </row>
    <row r="7" spans="3:13" ht="15" customHeight="1">
      <c r="C7" s="88"/>
      <c r="D7" s="105" t="s">
        <v>684</v>
      </c>
      <c r="E7" s="189" t="s">
        <v>670</v>
      </c>
      <c r="F7" s="189" t="s">
        <v>671</v>
      </c>
      <c r="G7" s="189" t="s">
        <v>672</v>
      </c>
      <c r="H7" s="189" t="s">
        <v>673</v>
      </c>
      <c r="I7" s="189" t="s">
        <v>674</v>
      </c>
      <c r="J7" s="189" t="s">
        <v>675</v>
      </c>
      <c r="K7" s="189" t="s">
        <v>676</v>
      </c>
      <c r="L7" s="189" t="s">
        <v>677</v>
      </c>
      <c r="M7" s="190" t="s">
        <v>685</v>
      </c>
    </row>
    <row r="8" spans="3:13" ht="15" customHeight="1">
      <c r="D8" s="105" t="s">
        <v>686</v>
      </c>
      <c r="E8" s="16">
        <v>0</v>
      </c>
      <c r="F8" s="16">
        <v>0</v>
      </c>
      <c r="G8" s="16">
        <v>0</v>
      </c>
      <c r="H8" s="16">
        <v>0</v>
      </c>
      <c r="I8" s="189" t="s">
        <v>680</v>
      </c>
      <c r="J8" s="189" t="s">
        <v>681</v>
      </c>
      <c r="K8" s="189" t="s">
        <v>682</v>
      </c>
      <c r="L8" s="189" t="s">
        <v>683</v>
      </c>
    </row>
  </sheetData>
  <phoneticPr fontId="3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dimension ref="A2:O41"/>
  <sheetViews>
    <sheetView zoomScale="80" zoomScaleNormal="80" workbookViewId="0">
      <selection activeCell="L41" sqref="L41"/>
    </sheetView>
  </sheetViews>
  <sheetFormatPr defaultRowHeight="14.5"/>
  <cols>
    <col min="1" max="1" width="5.7265625" customWidth="1"/>
    <col min="2" max="2" width="35.26953125" customWidth="1"/>
    <col min="3" max="3" width="10.7265625" customWidth="1"/>
    <col min="4" max="4" width="13" customWidth="1"/>
    <col min="5" max="6" width="8.90625" customWidth="1"/>
    <col min="8" max="9" width="8.90625" customWidth="1"/>
    <col min="12" max="12" width="86.08984375" customWidth="1"/>
  </cols>
  <sheetData>
    <row r="2" spans="1:15" ht="15" thickBot="1"/>
    <row r="3" spans="1:15" ht="15" thickBot="1">
      <c r="A3" s="27">
        <v>1</v>
      </c>
      <c r="B3" s="29" t="s">
        <v>31</v>
      </c>
      <c r="C3" s="52" t="s">
        <v>264</v>
      </c>
      <c r="D3" s="53"/>
      <c r="E3" s="53"/>
      <c r="F3" s="53"/>
      <c r="G3" s="54"/>
      <c r="H3" s="349"/>
      <c r="I3" s="350"/>
      <c r="J3" s="350"/>
      <c r="K3" s="350"/>
    </row>
    <row r="4" spans="1:15" ht="15" thickBot="1">
      <c r="A4" s="28">
        <v>2</v>
      </c>
      <c r="B4" s="26" t="s">
        <v>33</v>
      </c>
      <c r="C4" s="55">
        <v>8</v>
      </c>
      <c r="D4" s="56"/>
      <c r="E4" s="56"/>
      <c r="F4" s="56"/>
      <c r="G4" s="57"/>
      <c r="H4" s="349"/>
      <c r="I4" s="350"/>
      <c r="J4" s="350"/>
      <c r="K4" s="350"/>
    </row>
    <row r="5" spans="1:15" ht="15" thickBot="1">
      <c r="A5" s="28">
        <v>3</v>
      </c>
      <c r="B5" s="26" t="s">
        <v>265</v>
      </c>
      <c r="C5" s="69" t="s">
        <v>266</v>
      </c>
      <c r="D5" s="56"/>
      <c r="E5" s="56"/>
      <c r="F5" s="56"/>
      <c r="G5" s="57"/>
      <c r="H5" s="349"/>
      <c r="I5" s="350"/>
      <c r="J5" s="350"/>
      <c r="K5" s="350"/>
    </row>
    <row r="6" spans="1:15" ht="15" thickBot="1">
      <c r="A6" s="28">
        <v>4</v>
      </c>
      <c r="B6" s="26" t="s">
        <v>267</v>
      </c>
      <c r="C6" s="52">
        <v>1</v>
      </c>
      <c r="D6" s="53"/>
      <c r="E6" s="53"/>
      <c r="F6" s="53"/>
      <c r="G6" s="54"/>
      <c r="H6" s="349"/>
      <c r="I6" s="350"/>
      <c r="J6" s="350"/>
      <c r="K6" s="350"/>
    </row>
    <row r="7" spans="1:15" ht="15" thickBot="1">
      <c r="A7" s="28">
        <v>5</v>
      </c>
      <c r="B7" s="26" t="s">
        <v>268</v>
      </c>
      <c r="C7" s="55">
        <v>8</v>
      </c>
      <c r="D7" s="56"/>
      <c r="E7" s="56"/>
      <c r="F7" s="56"/>
      <c r="G7" s="57"/>
      <c r="H7" s="349"/>
      <c r="I7" s="350"/>
      <c r="J7" s="350"/>
      <c r="K7" s="350"/>
    </row>
    <row r="8" spans="1:15" ht="15" thickBot="1">
      <c r="A8" s="28">
        <v>6</v>
      </c>
      <c r="B8" s="26" t="s">
        <v>269</v>
      </c>
      <c r="C8" s="55">
        <f>C7/2</f>
        <v>4</v>
      </c>
      <c r="D8" s="56"/>
      <c r="E8" s="56"/>
      <c r="F8" s="56"/>
      <c r="G8" s="57"/>
      <c r="H8" s="349"/>
      <c r="I8" s="350"/>
      <c r="J8" s="350"/>
      <c r="K8" s="350"/>
    </row>
    <row r="9" spans="1:15" ht="15" thickBot="1"/>
    <row r="10" spans="1:15" ht="44" thickBot="1">
      <c r="A10" s="24" t="s">
        <v>44</v>
      </c>
      <c r="B10" s="25" t="s">
        <v>45</v>
      </c>
      <c r="C10" s="25" t="s">
        <v>270</v>
      </c>
      <c r="D10" s="25" t="s">
        <v>271</v>
      </c>
      <c r="E10" s="25" t="s">
        <v>50</v>
      </c>
      <c r="F10" s="25" t="s">
        <v>52</v>
      </c>
      <c r="G10" s="25" t="s">
        <v>272</v>
      </c>
      <c r="H10" s="25" t="s">
        <v>273</v>
      </c>
      <c r="I10" s="25" t="s">
        <v>274</v>
      </c>
      <c r="J10" s="32" t="s">
        <v>275</v>
      </c>
      <c r="K10" s="34" t="s">
        <v>276</v>
      </c>
    </row>
    <row r="11" spans="1:15" ht="15" thickBot="1">
      <c r="A11" s="19">
        <v>1</v>
      </c>
      <c r="B11" s="21" t="s">
        <v>57</v>
      </c>
      <c r="C11" s="22">
        <v>12</v>
      </c>
      <c r="D11" s="22" t="s">
        <v>277</v>
      </c>
      <c r="E11" s="22" t="s">
        <v>62</v>
      </c>
      <c r="F11" s="22" t="s">
        <v>62</v>
      </c>
      <c r="G11" s="22">
        <f>C11*IF(D11="Redundant",2,IF(D11="Differential",2,1))</f>
        <v>24</v>
      </c>
      <c r="H11" s="23">
        <v>0</v>
      </c>
      <c r="I11" s="23" t="str">
        <f t="shared" ref="I11:I17" si="0">DEC2HEX(H11,4)</f>
        <v>0000</v>
      </c>
      <c r="J11" s="30">
        <v>0</v>
      </c>
      <c r="K11" s="31" t="str">
        <f>DEC2HEX(J11,3)</f>
        <v>000</v>
      </c>
      <c r="L11" s="74"/>
    </row>
    <row r="12" spans="1:15" ht="15" thickBot="1">
      <c r="A12" s="19">
        <v>2</v>
      </c>
      <c r="B12" s="21" t="s">
        <v>74</v>
      </c>
      <c r="C12" s="22">
        <v>2</v>
      </c>
      <c r="D12" s="22" t="s">
        <v>277</v>
      </c>
      <c r="E12" s="22" t="s">
        <v>62</v>
      </c>
      <c r="F12" s="22" t="s">
        <v>62</v>
      </c>
      <c r="G12" s="22">
        <f>C12*IF(D12="Redundant",2,IF(D12="Differential",2,1))</f>
        <v>4</v>
      </c>
      <c r="H12" s="23">
        <f>G11+H11</f>
        <v>24</v>
      </c>
      <c r="I12" s="23" t="str">
        <f t="shared" si="0"/>
        <v>0018</v>
      </c>
      <c r="J12" s="30">
        <f>J11+C11</f>
        <v>12</v>
      </c>
      <c r="K12" s="31" t="str">
        <f>DEC2HEX(J12,3)</f>
        <v>00C</v>
      </c>
      <c r="O12" s="42"/>
    </row>
    <row r="13" spans="1:15" ht="15" thickBot="1">
      <c r="A13" s="19">
        <v>3</v>
      </c>
      <c r="B13" s="21" t="s">
        <v>278</v>
      </c>
      <c r="C13" s="22">
        <v>4</v>
      </c>
      <c r="D13" s="22" t="s">
        <v>277</v>
      </c>
      <c r="E13" s="22" t="s">
        <v>62</v>
      </c>
      <c r="F13" s="22" t="s">
        <v>62</v>
      </c>
      <c r="G13" s="22">
        <f t="shared" ref="G13:G41" si="1">C13*IF(D13="Redundant",2,IF(D13="Differential",2,1))</f>
        <v>8</v>
      </c>
      <c r="H13" s="23">
        <f t="shared" ref="H13:H39" si="2">G12+H12</f>
        <v>28</v>
      </c>
      <c r="I13" s="23" t="str">
        <f t="shared" si="0"/>
        <v>001C</v>
      </c>
      <c r="J13" s="30">
        <f t="shared" ref="J13:J41" si="3">J12+C12</f>
        <v>14</v>
      </c>
      <c r="K13" s="31" t="str">
        <f>DEC2HEX(J13,3)</f>
        <v>00E</v>
      </c>
      <c r="O13" s="42"/>
    </row>
    <row r="14" spans="1:15" ht="15" thickBot="1">
      <c r="A14" s="19">
        <v>4</v>
      </c>
      <c r="B14" s="21" t="s">
        <v>279</v>
      </c>
      <c r="C14" s="22">
        <v>16</v>
      </c>
      <c r="D14" s="22" t="s">
        <v>277</v>
      </c>
      <c r="E14" s="22" t="s">
        <v>62</v>
      </c>
      <c r="F14" s="22" t="s">
        <v>62</v>
      </c>
      <c r="G14" s="22">
        <f t="shared" si="1"/>
        <v>32</v>
      </c>
      <c r="H14" s="23">
        <f t="shared" si="2"/>
        <v>36</v>
      </c>
      <c r="I14" s="23" t="str">
        <f t="shared" si="0"/>
        <v>0024</v>
      </c>
      <c r="J14" s="30">
        <f t="shared" si="3"/>
        <v>18</v>
      </c>
      <c r="K14" s="31" t="str">
        <f>DEC2HEX(J14,3)</f>
        <v>012</v>
      </c>
    </row>
    <row r="15" spans="1:15" ht="15" thickBot="1">
      <c r="A15" s="35">
        <v>5</v>
      </c>
      <c r="B15" s="36" t="s">
        <v>120</v>
      </c>
      <c r="C15" s="37">
        <f>2048-256-(SUM(C11:C14))</f>
        <v>1758</v>
      </c>
      <c r="D15" s="37" t="s">
        <v>277</v>
      </c>
      <c r="E15" s="37" t="s">
        <v>62</v>
      </c>
      <c r="F15" s="37" t="s">
        <v>62</v>
      </c>
      <c r="G15" s="37">
        <f>C15*IF(D15="Redundant",2,IF(D15="Differential",2,1))</f>
        <v>3516</v>
      </c>
      <c r="H15" s="38">
        <f t="shared" si="2"/>
        <v>68</v>
      </c>
      <c r="I15" s="38" t="str">
        <f t="shared" si="0"/>
        <v>0044</v>
      </c>
      <c r="J15" s="39">
        <f t="shared" si="3"/>
        <v>34</v>
      </c>
      <c r="K15" s="40" t="str">
        <f>DEC2HEX(J15,3)</f>
        <v>022</v>
      </c>
    </row>
    <row r="16" spans="1:15" ht="15" thickBot="1">
      <c r="A16" s="35">
        <v>6</v>
      </c>
      <c r="B16" s="36" t="s">
        <v>280</v>
      </c>
      <c r="C16" s="37">
        <v>256</v>
      </c>
      <c r="D16" s="37" t="s">
        <v>277</v>
      </c>
      <c r="E16" s="37" t="s">
        <v>62</v>
      </c>
      <c r="F16" s="37" t="s">
        <v>62</v>
      </c>
      <c r="G16" s="37">
        <f>C16*IF(D16="Redundant",2,IF(D16="Differential",2,1))</f>
        <v>512</v>
      </c>
      <c r="H16" s="38">
        <f t="shared" si="2"/>
        <v>3584</v>
      </c>
      <c r="I16" s="38" t="str">
        <f>DEC2HEX(H16,4)</f>
        <v>0E00</v>
      </c>
      <c r="J16" s="39">
        <f t="shared" si="3"/>
        <v>1792</v>
      </c>
      <c r="K16" s="40" t="str">
        <f t="shared" ref="K16:K21" si="4">DEC2HEX(J16,4)</f>
        <v>0700</v>
      </c>
    </row>
    <row r="17" spans="1:11">
      <c r="A17" s="58">
        <v>7</v>
      </c>
      <c r="B17" s="61" t="s">
        <v>281</v>
      </c>
      <c r="C17" s="17">
        <v>2</v>
      </c>
      <c r="D17" s="17" t="s">
        <v>282</v>
      </c>
      <c r="E17" s="17" t="s">
        <v>100</v>
      </c>
      <c r="F17" s="17" t="s">
        <v>62</v>
      </c>
      <c r="G17" s="17">
        <f t="shared" si="1"/>
        <v>2</v>
      </c>
      <c r="H17" s="38">
        <f t="shared" si="2"/>
        <v>4096</v>
      </c>
      <c r="I17" s="18" t="str">
        <f t="shared" si="0"/>
        <v>1000</v>
      </c>
      <c r="J17" s="18">
        <f>H17</f>
        <v>4096</v>
      </c>
      <c r="K17" s="18" t="str">
        <f t="shared" si="4"/>
        <v>1000</v>
      </c>
    </row>
    <row r="18" spans="1:11">
      <c r="A18" s="59"/>
      <c r="B18" s="62" t="s">
        <v>283</v>
      </c>
      <c r="C18" s="15">
        <v>1</v>
      </c>
      <c r="D18" s="15" t="s">
        <v>282</v>
      </c>
      <c r="E18" s="15" t="s">
        <v>100</v>
      </c>
      <c r="F18" s="15" t="s">
        <v>62</v>
      </c>
      <c r="G18" s="15">
        <f t="shared" si="1"/>
        <v>1</v>
      </c>
      <c r="H18" s="16">
        <f t="shared" si="2"/>
        <v>4098</v>
      </c>
      <c r="I18" s="16" t="str">
        <f t="shared" ref="I18:I40" si="5">DEC2HEX(H18,4)</f>
        <v>1002</v>
      </c>
      <c r="J18" s="16">
        <f t="shared" si="3"/>
        <v>4098</v>
      </c>
      <c r="K18" s="16" t="str">
        <f t="shared" si="4"/>
        <v>1002</v>
      </c>
    </row>
    <row r="19" spans="1:11">
      <c r="A19" s="59"/>
      <c r="B19" s="62" t="s">
        <v>284</v>
      </c>
      <c r="C19" s="15">
        <v>1</v>
      </c>
      <c r="D19" s="15" t="s">
        <v>282</v>
      </c>
      <c r="E19" s="15" t="s">
        <v>100</v>
      </c>
      <c r="F19" s="15" t="s">
        <v>62</v>
      </c>
      <c r="G19" s="15">
        <f t="shared" si="1"/>
        <v>1</v>
      </c>
      <c r="H19" s="16">
        <f t="shared" si="2"/>
        <v>4099</v>
      </c>
      <c r="I19" s="16" t="str">
        <f t="shared" si="5"/>
        <v>1003</v>
      </c>
      <c r="J19" s="16">
        <f t="shared" si="3"/>
        <v>4099</v>
      </c>
      <c r="K19" s="16" t="str">
        <f t="shared" si="4"/>
        <v>1003</v>
      </c>
    </row>
    <row r="20" spans="1:11">
      <c r="A20" s="59"/>
      <c r="B20" s="62" t="s">
        <v>285</v>
      </c>
      <c r="C20" s="15">
        <v>5</v>
      </c>
      <c r="D20" s="15" t="s">
        <v>282</v>
      </c>
      <c r="E20" s="15" t="s">
        <v>100</v>
      </c>
      <c r="F20" s="15" t="s">
        <v>62</v>
      </c>
      <c r="G20" s="15">
        <f t="shared" si="1"/>
        <v>5</v>
      </c>
      <c r="H20" s="16">
        <f t="shared" si="2"/>
        <v>4100</v>
      </c>
      <c r="I20" s="16" t="str">
        <f t="shared" si="5"/>
        <v>1004</v>
      </c>
      <c r="J20" s="16">
        <f t="shared" si="3"/>
        <v>4100</v>
      </c>
      <c r="K20" s="16" t="str">
        <f t="shared" si="4"/>
        <v>1004</v>
      </c>
    </row>
    <row r="21" spans="1:11" ht="15" thickBot="1">
      <c r="A21" s="60"/>
      <c r="B21" s="65" t="s">
        <v>286</v>
      </c>
      <c r="C21" s="66">
        <v>287</v>
      </c>
      <c r="D21" s="66" t="s">
        <v>282</v>
      </c>
      <c r="E21" s="66" t="s">
        <v>100</v>
      </c>
      <c r="F21" s="66" t="s">
        <v>100</v>
      </c>
      <c r="G21" s="66">
        <f t="shared" si="1"/>
        <v>287</v>
      </c>
      <c r="H21" s="67">
        <f t="shared" si="2"/>
        <v>4105</v>
      </c>
      <c r="I21" s="67" t="str">
        <f t="shared" si="5"/>
        <v>1009</v>
      </c>
      <c r="J21" s="67">
        <f t="shared" si="3"/>
        <v>4105</v>
      </c>
      <c r="K21" s="67" t="str">
        <f t="shared" si="4"/>
        <v>1009</v>
      </c>
    </row>
    <row r="22" spans="1:11">
      <c r="A22" s="58">
        <v>8</v>
      </c>
      <c r="B22" s="61" t="s">
        <v>281</v>
      </c>
      <c r="C22" s="17">
        <v>2</v>
      </c>
      <c r="D22" s="17" t="s">
        <v>282</v>
      </c>
      <c r="E22" s="17" t="s">
        <v>100</v>
      </c>
      <c r="F22" s="17" t="s">
        <v>62</v>
      </c>
      <c r="G22" s="17">
        <f t="shared" si="1"/>
        <v>2</v>
      </c>
      <c r="H22" s="18">
        <f t="shared" si="2"/>
        <v>4392</v>
      </c>
      <c r="I22" s="18" t="str">
        <f t="shared" si="5"/>
        <v>1128</v>
      </c>
      <c r="J22" s="18">
        <f t="shared" si="3"/>
        <v>4392</v>
      </c>
      <c r="K22" s="38" t="str">
        <f t="shared" ref="K22:K41" si="6">DEC2HEX(J22,4)</f>
        <v>1128</v>
      </c>
    </row>
    <row r="23" spans="1:11">
      <c r="A23" s="59"/>
      <c r="B23" s="62" t="s">
        <v>283</v>
      </c>
      <c r="C23" s="15">
        <v>1</v>
      </c>
      <c r="D23" s="15" t="s">
        <v>282</v>
      </c>
      <c r="E23" s="15" t="s">
        <v>100</v>
      </c>
      <c r="F23" s="15" t="s">
        <v>62</v>
      </c>
      <c r="G23" s="15">
        <f t="shared" si="1"/>
        <v>1</v>
      </c>
      <c r="H23" s="16">
        <f t="shared" si="2"/>
        <v>4394</v>
      </c>
      <c r="I23" s="16" t="str">
        <f t="shared" si="5"/>
        <v>112A</v>
      </c>
      <c r="J23" s="16">
        <f t="shared" si="3"/>
        <v>4394</v>
      </c>
      <c r="K23" s="20" t="str">
        <f t="shared" si="6"/>
        <v>112A</v>
      </c>
    </row>
    <row r="24" spans="1:11">
      <c r="A24" s="59"/>
      <c r="B24" s="62" t="s">
        <v>284</v>
      </c>
      <c r="C24" s="15">
        <v>1</v>
      </c>
      <c r="D24" s="15" t="s">
        <v>282</v>
      </c>
      <c r="E24" s="15" t="s">
        <v>100</v>
      </c>
      <c r="F24" s="15" t="s">
        <v>62</v>
      </c>
      <c r="G24" s="15">
        <f t="shared" si="1"/>
        <v>1</v>
      </c>
      <c r="H24" s="16">
        <f t="shared" si="2"/>
        <v>4395</v>
      </c>
      <c r="I24" s="16" t="str">
        <f t="shared" si="5"/>
        <v>112B</v>
      </c>
      <c r="J24" s="16">
        <f t="shared" si="3"/>
        <v>4395</v>
      </c>
      <c r="K24" s="20" t="str">
        <f t="shared" si="6"/>
        <v>112B</v>
      </c>
    </row>
    <row r="25" spans="1:11">
      <c r="A25" s="59"/>
      <c r="B25" s="62" t="s">
        <v>287</v>
      </c>
      <c r="C25" s="15">
        <v>5</v>
      </c>
      <c r="D25" s="15" t="s">
        <v>282</v>
      </c>
      <c r="E25" s="15" t="s">
        <v>100</v>
      </c>
      <c r="F25" s="15" t="s">
        <v>62</v>
      </c>
      <c r="G25" s="15">
        <f t="shared" si="1"/>
        <v>5</v>
      </c>
      <c r="H25" s="16">
        <f t="shared" si="2"/>
        <v>4396</v>
      </c>
      <c r="I25" s="16" t="str">
        <f t="shared" si="5"/>
        <v>112C</v>
      </c>
      <c r="J25" s="16">
        <f t="shared" si="3"/>
        <v>4396</v>
      </c>
      <c r="K25" s="20" t="str">
        <f t="shared" si="6"/>
        <v>112C</v>
      </c>
    </row>
    <row r="26" spans="1:11" ht="15" thickBot="1">
      <c r="A26" s="60"/>
      <c r="B26" s="65" t="s">
        <v>288</v>
      </c>
      <c r="C26" s="66">
        <v>287</v>
      </c>
      <c r="D26" s="66" t="s">
        <v>282</v>
      </c>
      <c r="E26" s="66" t="s">
        <v>100</v>
      </c>
      <c r="F26" s="66" t="s">
        <v>100</v>
      </c>
      <c r="G26" s="66">
        <f t="shared" si="1"/>
        <v>287</v>
      </c>
      <c r="H26" s="67">
        <f t="shared" si="2"/>
        <v>4401</v>
      </c>
      <c r="I26" s="67" t="str">
        <f t="shared" si="5"/>
        <v>1131</v>
      </c>
      <c r="J26" s="67">
        <f t="shared" si="3"/>
        <v>4401</v>
      </c>
      <c r="K26" s="67" t="str">
        <f t="shared" si="6"/>
        <v>1131</v>
      </c>
    </row>
    <row r="27" spans="1:11">
      <c r="A27" s="58">
        <v>9</v>
      </c>
      <c r="B27" s="61" t="s">
        <v>281</v>
      </c>
      <c r="C27" s="17">
        <v>2</v>
      </c>
      <c r="D27" s="17" t="s">
        <v>282</v>
      </c>
      <c r="E27" s="17" t="s">
        <v>100</v>
      </c>
      <c r="F27" s="17" t="s">
        <v>62</v>
      </c>
      <c r="G27" s="17">
        <f>C27*IF(D27="Redundant",2,IF(D27="Differential",2,1))</f>
        <v>2</v>
      </c>
      <c r="H27" s="18">
        <f t="shared" si="2"/>
        <v>4688</v>
      </c>
      <c r="I27" s="18" t="str">
        <f t="shared" si="5"/>
        <v>1250</v>
      </c>
      <c r="J27" s="18">
        <f t="shared" si="3"/>
        <v>4688</v>
      </c>
      <c r="K27" s="38" t="str">
        <f t="shared" si="6"/>
        <v>1250</v>
      </c>
    </row>
    <row r="28" spans="1:11">
      <c r="A28" s="59"/>
      <c r="B28" s="62" t="s">
        <v>283</v>
      </c>
      <c r="C28" s="15">
        <v>1</v>
      </c>
      <c r="D28" s="15" t="s">
        <v>282</v>
      </c>
      <c r="E28" s="15" t="s">
        <v>100</v>
      </c>
      <c r="F28" s="15" t="s">
        <v>62</v>
      </c>
      <c r="G28" s="15">
        <f>C28*IF(D28="Redundant",2,IF(D28="Differential",2,1))</f>
        <v>1</v>
      </c>
      <c r="H28" s="16">
        <f t="shared" si="2"/>
        <v>4690</v>
      </c>
      <c r="I28" s="16" t="str">
        <f t="shared" si="5"/>
        <v>1252</v>
      </c>
      <c r="J28" s="16">
        <f t="shared" si="3"/>
        <v>4690</v>
      </c>
      <c r="K28" s="20" t="str">
        <f t="shared" si="6"/>
        <v>1252</v>
      </c>
    </row>
    <row r="29" spans="1:11">
      <c r="A29" s="59"/>
      <c r="B29" s="62" t="s">
        <v>284</v>
      </c>
      <c r="C29" s="15">
        <v>1</v>
      </c>
      <c r="D29" s="15" t="s">
        <v>282</v>
      </c>
      <c r="E29" s="15" t="s">
        <v>100</v>
      </c>
      <c r="F29" s="15" t="s">
        <v>62</v>
      </c>
      <c r="G29" s="15">
        <f>C29*IF(D29="Redundant",2,IF(D29="Differential",2,1))</f>
        <v>1</v>
      </c>
      <c r="H29" s="16">
        <f t="shared" si="2"/>
        <v>4691</v>
      </c>
      <c r="I29" s="16" t="str">
        <f t="shared" si="5"/>
        <v>1253</v>
      </c>
      <c r="J29" s="16">
        <f t="shared" si="3"/>
        <v>4691</v>
      </c>
      <c r="K29" s="20" t="str">
        <f t="shared" si="6"/>
        <v>1253</v>
      </c>
    </row>
    <row r="30" spans="1:11">
      <c r="A30" s="59"/>
      <c r="B30" s="62" t="s">
        <v>289</v>
      </c>
      <c r="C30" s="15">
        <v>5</v>
      </c>
      <c r="D30" s="15" t="s">
        <v>282</v>
      </c>
      <c r="E30" s="15" t="s">
        <v>100</v>
      </c>
      <c r="F30" s="15" t="s">
        <v>62</v>
      </c>
      <c r="G30" s="15">
        <f>C30*IF(D30="Redundant",2,IF(D30="Differential",2,1))</f>
        <v>5</v>
      </c>
      <c r="H30" s="16">
        <f t="shared" si="2"/>
        <v>4692</v>
      </c>
      <c r="I30" s="16" t="str">
        <f t="shared" si="5"/>
        <v>1254</v>
      </c>
      <c r="J30" s="16">
        <f t="shared" si="3"/>
        <v>4692</v>
      </c>
      <c r="K30" s="20" t="str">
        <f t="shared" si="6"/>
        <v>1254</v>
      </c>
    </row>
    <row r="31" spans="1:11" ht="15" thickBot="1">
      <c r="A31" s="60"/>
      <c r="B31" s="65" t="s">
        <v>290</v>
      </c>
      <c r="C31" s="66">
        <v>287</v>
      </c>
      <c r="D31" s="66" t="s">
        <v>282</v>
      </c>
      <c r="E31" s="66" t="s">
        <v>100</v>
      </c>
      <c r="F31" s="66" t="s">
        <v>100</v>
      </c>
      <c r="G31" s="66">
        <f>C31*IF(D31="Redundant",2,IF(D31="Differential",2,1))</f>
        <v>287</v>
      </c>
      <c r="H31" s="67">
        <f t="shared" si="2"/>
        <v>4697</v>
      </c>
      <c r="I31" s="67" t="str">
        <f t="shared" si="5"/>
        <v>1259</v>
      </c>
      <c r="J31" s="67">
        <f t="shared" si="3"/>
        <v>4697</v>
      </c>
      <c r="K31" s="67" t="str">
        <f t="shared" si="6"/>
        <v>1259</v>
      </c>
    </row>
    <row r="32" spans="1:11">
      <c r="A32" s="58">
        <v>10</v>
      </c>
      <c r="B32" s="61" t="s">
        <v>281</v>
      </c>
      <c r="C32" s="17">
        <v>2</v>
      </c>
      <c r="D32" s="17" t="s">
        <v>282</v>
      </c>
      <c r="E32" s="17" t="s">
        <v>100</v>
      </c>
      <c r="F32" s="17" t="s">
        <v>62</v>
      </c>
      <c r="G32" s="17">
        <f t="shared" si="1"/>
        <v>2</v>
      </c>
      <c r="H32" s="18">
        <f t="shared" si="2"/>
        <v>4984</v>
      </c>
      <c r="I32" s="18" t="str">
        <f t="shared" si="5"/>
        <v>1378</v>
      </c>
      <c r="J32" s="18">
        <f t="shared" si="3"/>
        <v>4984</v>
      </c>
      <c r="K32" s="38" t="str">
        <f t="shared" si="6"/>
        <v>1378</v>
      </c>
    </row>
    <row r="33" spans="1:11">
      <c r="A33" s="59"/>
      <c r="B33" s="62" t="s">
        <v>283</v>
      </c>
      <c r="C33" s="15">
        <v>1</v>
      </c>
      <c r="D33" s="15" t="s">
        <v>282</v>
      </c>
      <c r="E33" s="15" t="s">
        <v>100</v>
      </c>
      <c r="F33" s="15" t="s">
        <v>62</v>
      </c>
      <c r="G33" s="15">
        <f t="shared" si="1"/>
        <v>1</v>
      </c>
      <c r="H33" s="16">
        <f t="shared" si="2"/>
        <v>4986</v>
      </c>
      <c r="I33" s="16" t="str">
        <f t="shared" si="5"/>
        <v>137A</v>
      </c>
      <c r="J33" s="16">
        <f t="shared" si="3"/>
        <v>4986</v>
      </c>
      <c r="K33" s="20" t="str">
        <f t="shared" si="6"/>
        <v>137A</v>
      </c>
    </row>
    <row r="34" spans="1:11">
      <c r="A34" s="59"/>
      <c r="B34" s="62" t="s">
        <v>284</v>
      </c>
      <c r="C34" s="15">
        <v>1</v>
      </c>
      <c r="D34" s="15" t="s">
        <v>282</v>
      </c>
      <c r="E34" s="15" t="s">
        <v>100</v>
      </c>
      <c r="F34" s="15" t="s">
        <v>62</v>
      </c>
      <c r="G34" s="15">
        <f t="shared" si="1"/>
        <v>1</v>
      </c>
      <c r="H34" s="16">
        <f t="shared" si="2"/>
        <v>4987</v>
      </c>
      <c r="I34" s="16" t="str">
        <f t="shared" si="5"/>
        <v>137B</v>
      </c>
      <c r="J34" s="16">
        <f t="shared" si="3"/>
        <v>4987</v>
      </c>
      <c r="K34" s="20" t="str">
        <f t="shared" si="6"/>
        <v>137B</v>
      </c>
    </row>
    <row r="35" spans="1:11" ht="15" thickBot="1">
      <c r="A35" s="60"/>
      <c r="B35" s="65" t="s">
        <v>291</v>
      </c>
      <c r="C35" s="66">
        <v>32</v>
      </c>
      <c r="D35" s="66" t="s">
        <v>282</v>
      </c>
      <c r="E35" s="66" t="s">
        <v>100</v>
      </c>
      <c r="F35" s="66" t="s">
        <v>100</v>
      </c>
      <c r="G35" s="66">
        <f t="shared" si="1"/>
        <v>32</v>
      </c>
      <c r="H35" s="67">
        <f t="shared" si="2"/>
        <v>4988</v>
      </c>
      <c r="I35" s="67" t="str">
        <f t="shared" si="5"/>
        <v>137C</v>
      </c>
      <c r="J35" s="67">
        <f t="shared" si="3"/>
        <v>4988</v>
      </c>
      <c r="K35" s="67" t="str">
        <f t="shared" si="6"/>
        <v>137C</v>
      </c>
    </row>
    <row r="36" spans="1:11">
      <c r="A36" s="58">
        <v>11</v>
      </c>
      <c r="B36" s="61" t="s">
        <v>281</v>
      </c>
      <c r="C36" s="17">
        <v>2</v>
      </c>
      <c r="D36" s="17" t="s">
        <v>282</v>
      </c>
      <c r="E36" s="17" t="s">
        <v>100</v>
      </c>
      <c r="F36" s="17" t="s">
        <v>62</v>
      </c>
      <c r="G36" s="17">
        <f t="shared" si="1"/>
        <v>2</v>
      </c>
      <c r="H36" s="18">
        <f t="shared" si="2"/>
        <v>5020</v>
      </c>
      <c r="I36" s="18" t="str">
        <f t="shared" si="5"/>
        <v>139C</v>
      </c>
      <c r="J36" s="18">
        <f t="shared" si="3"/>
        <v>5020</v>
      </c>
      <c r="K36" s="38" t="str">
        <f t="shared" si="6"/>
        <v>139C</v>
      </c>
    </row>
    <row r="37" spans="1:11">
      <c r="A37" s="59"/>
      <c r="B37" s="62" t="s">
        <v>283</v>
      </c>
      <c r="C37" s="15">
        <v>1</v>
      </c>
      <c r="D37" s="15" t="s">
        <v>282</v>
      </c>
      <c r="E37" s="15" t="s">
        <v>100</v>
      </c>
      <c r="F37" s="15" t="s">
        <v>62</v>
      </c>
      <c r="G37" s="15">
        <f t="shared" si="1"/>
        <v>1</v>
      </c>
      <c r="H37" s="16">
        <f t="shared" si="2"/>
        <v>5022</v>
      </c>
      <c r="I37" s="16" t="str">
        <f t="shared" si="5"/>
        <v>139E</v>
      </c>
      <c r="J37" s="16">
        <f t="shared" si="3"/>
        <v>5022</v>
      </c>
      <c r="K37" s="20" t="str">
        <f t="shared" si="6"/>
        <v>139E</v>
      </c>
    </row>
    <row r="38" spans="1:11">
      <c r="A38" s="59"/>
      <c r="B38" s="62" t="s">
        <v>284</v>
      </c>
      <c r="C38" s="15">
        <v>1</v>
      </c>
      <c r="D38" s="15" t="s">
        <v>282</v>
      </c>
      <c r="E38" s="15" t="s">
        <v>100</v>
      </c>
      <c r="F38" s="15" t="s">
        <v>62</v>
      </c>
      <c r="G38" s="15">
        <f t="shared" si="1"/>
        <v>1</v>
      </c>
      <c r="H38" s="16">
        <f t="shared" si="2"/>
        <v>5023</v>
      </c>
      <c r="I38" s="16" t="str">
        <f t="shared" si="5"/>
        <v>139F</v>
      </c>
      <c r="J38" s="16">
        <f t="shared" si="3"/>
        <v>5023</v>
      </c>
      <c r="K38" s="20" t="str">
        <f t="shared" si="6"/>
        <v>139F</v>
      </c>
    </row>
    <row r="39" spans="1:11" ht="15" thickBot="1">
      <c r="A39" s="60"/>
      <c r="B39" s="65" t="s">
        <v>292</v>
      </c>
      <c r="C39" s="66">
        <v>1360</v>
      </c>
      <c r="D39" s="66" t="s">
        <v>282</v>
      </c>
      <c r="E39" s="66" t="s">
        <v>100</v>
      </c>
      <c r="F39" s="66" t="s">
        <v>100</v>
      </c>
      <c r="G39" s="66">
        <f t="shared" si="1"/>
        <v>1360</v>
      </c>
      <c r="H39" s="67">
        <f t="shared" si="2"/>
        <v>5024</v>
      </c>
      <c r="I39" s="67" t="str">
        <f t="shared" si="5"/>
        <v>13A0</v>
      </c>
      <c r="J39" s="67">
        <f t="shared" si="3"/>
        <v>5024</v>
      </c>
      <c r="K39" s="67" t="str">
        <f t="shared" si="6"/>
        <v>13A0</v>
      </c>
    </row>
    <row r="40" spans="1:11" ht="15" thickBot="1">
      <c r="A40" s="68">
        <v>12</v>
      </c>
      <c r="B40" s="63" t="s">
        <v>293</v>
      </c>
      <c r="C40" s="22">
        <v>2</v>
      </c>
      <c r="D40" s="22" t="s">
        <v>277</v>
      </c>
      <c r="E40" s="22" t="s">
        <v>62</v>
      </c>
      <c r="F40" s="22" t="s">
        <v>62</v>
      </c>
      <c r="G40" s="22">
        <f t="shared" si="1"/>
        <v>4</v>
      </c>
      <c r="H40" s="23">
        <f>H39+(G39)</f>
        <v>6384</v>
      </c>
      <c r="I40" s="23" t="str">
        <f t="shared" si="5"/>
        <v>18F0</v>
      </c>
      <c r="J40" s="23">
        <f t="shared" si="3"/>
        <v>6384</v>
      </c>
      <c r="K40" s="23" t="str">
        <f t="shared" si="6"/>
        <v>18F0</v>
      </c>
    </row>
    <row r="41" spans="1:11" ht="15" thickBot="1">
      <c r="A41" s="19">
        <v>13</v>
      </c>
      <c r="B41" s="63" t="s">
        <v>294</v>
      </c>
      <c r="C41" s="22">
        <f>(4*1024)-(H16+G16)/2</f>
        <v>2048</v>
      </c>
      <c r="D41" s="22" t="s">
        <v>277</v>
      </c>
      <c r="E41" s="22" t="s">
        <v>62</v>
      </c>
      <c r="F41" s="22" t="s">
        <v>62</v>
      </c>
      <c r="G41" s="22">
        <f t="shared" si="1"/>
        <v>4096</v>
      </c>
      <c r="H41" s="23">
        <f>H16+G16</f>
        <v>4096</v>
      </c>
      <c r="I41" s="23" t="str">
        <f>DEC2HEX(H41,4)</f>
        <v>1000</v>
      </c>
      <c r="J41" s="23">
        <f t="shared" si="3"/>
        <v>6386</v>
      </c>
      <c r="K41" s="23" t="str">
        <f t="shared" si="6"/>
        <v>18F2</v>
      </c>
    </row>
  </sheetData>
  <mergeCells count="6">
    <mergeCell ref="H8:K8"/>
    <mergeCell ref="H3:K3"/>
    <mergeCell ref="H4:K4"/>
    <mergeCell ref="H5:K5"/>
    <mergeCell ref="H6:K6"/>
    <mergeCell ref="H7:K7"/>
  </mergeCells>
  <phoneticPr fontId="36" type="noConversion"/>
  <pageMargins left="0.7" right="0.7" top="0.75" bottom="0.75" header="0.3" footer="0.3"/>
  <pageSetup orientation="portrait" verticalDpi="1200" r:id="rId1"/>
  <ignoredErrors>
    <ignoredError sqref="J16:J4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dimension ref="A1:G3"/>
  <sheetViews>
    <sheetView workbookViewId="0"/>
  </sheetViews>
  <sheetFormatPr defaultRowHeight="14.5"/>
  <sheetData>
    <row r="1" spans="1:7">
      <c r="A1" t="s">
        <v>295</v>
      </c>
      <c r="B1" t="s">
        <v>296</v>
      </c>
      <c r="C1" t="s">
        <v>297</v>
      </c>
      <c r="D1" t="s">
        <v>298</v>
      </c>
      <c r="E1" t="s">
        <v>299</v>
      </c>
      <c r="F1" t="s">
        <v>300</v>
      </c>
      <c r="G1" t="s">
        <v>301</v>
      </c>
    </row>
    <row r="2" spans="1:7">
      <c r="A2" t="s">
        <v>302</v>
      </c>
      <c r="B2" t="s">
        <v>303</v>
      </c>
      <c r="C2" t="s">
        <v>304</v>
      </c>
      <c r="D2" t="s">
        <v>305</v>
      </c>
      <c r="E2" t="s">
        <v>306</v>
      </c>
      <c r="F2">
        <v>19</v>
      </c>
      <c r="G2" t="s">
        <v>307</v>
      </c>
    </row>
    <row r="3" spans="1:7">
      <c r="A3" t="s">
        <v>308</v>
      </c>
      <c r="B3" t="s">
        <v>309</v>
      </c>
      <c r="C3" t="s">
        <v>310</v>
      </c>
      <c r="D3" t="s">
        <v>311</v>
      </c>
      <c r="E3" t="s">
        <v>312</v>
      </c>
      <c r="F3">
        <v>21</v>
      </c>
      <c r="G3" t="s">
        <v>313</v>
      </c>
    </row>
  </sheetData>
  <phoneticPr fontId="36" type="noConversion"/>
  <pageMargins left="0.7" right="0.7" top="0.75" bottom="0.75" header="0.3" footer="0.3"/>
  <pageSetup orientation="portrait" r:id="rId1"/>
  <customProperties>
    <customPr name="ChangeNameIdentifier"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8">
    <tabColor rgb="FFFF0000"/>
  </sheetPr>
  <dimension ref="A1"/>
  <sheetViews>
    <sheetView workbookViewId="0"/>
  </sheetViews>
  <sheetFormatPr defaultRowHeight="14.5"/>
  <sheetData/>
  <phoneticPr fontId="36" type="noConversion"/>
  <pageMargins left="0.7" right="0.7" top="0.75" bottom="0.75" header="0.3" footer="0.3"/>
  <customProperties>
    <customPr name="DCFIdentifier"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9"/>
  <dimension ref="B4:T38"/>
  <sheetViews>
    <sheetView workbookViewId="0"/>
  </sheetViews>
  <sheetFormatPr defaultRowHeight="14.5"/>
  <cols>
    <col min="4" max="19" width="2.7265625" style="43" customWidth="1"/>
    <col min="20" max="20" width="11.453125" customWidth="1"/>
  </cols>
  <sheetData>
    <row r="4" spans="2:20" ht="15" thickBot="1"/>
    <row r="5" spans="2:20" ht="15" thickBot="1">
      <c r="C5" s="14" t="s">
        <v>314</v>
      </c>
      <c r="D5" s="355" t="s">
        <v>315</v>
      </c>
      <c r="E5" s="356"/>
      <c r="F5" s="356"/>
      <c r="G5" s="357"/>
      <c r="H5" s="355" t="s">
        <v>316</v>
      </c>
      <c r="I5" s="356"/>
      <c r="J5" s="356"/>
      <c r="K5" s="357"/>
      <c r="L5" s="355" t="s">
        <v>317</v>
      </c>
      <c r="M5" s="356"/>
      <c r="N5" s="356"/>
      <c r="O5" s="357"/>
      <c r="P5" s="355" t="s">
        <v>318</v>
      </c>
      <c r="Q5" s="356"/>
      <c r="R5" s="356"/>
      <c r="S5" s="357"/>
    </row>
    <row r="6" spans="2:20" ht="15" thickBot="1">
      <c r="C6" s="14" t="s">
        <v>319</v>
      </c>
      <c r="D6" s="44">
        <v>0</v>
      </c>
      <c r="E6" s="45">
        <v>1</v>
      </c>
      <c r="F6" s="45">
        <v>2</v>
      </c>
      <c r="G6" s="41">
        <v>3</v>
      </c>
      <c r="H6" s="44">
        <v>4</v>
      </c>
      <c r="I6" s="45">
        <v>5</v>
      </c>
      <c r="J6" s="45">
        <v>6</v>
      </c>
      <c r="K6" s="41">
        <v>7</v>
      </c>
      <c r="L6" s="44">
        <v>8</v>
      </c>
      <c r="M6" s="45">
        <v>9</v>
      </c>
      <c r="N6" s="45" t="s">
        <v>320</v>
      </c>
      <c r="O6" s="41" t="s">
        <v>321</v>
      </c>
      <c r="P6" s="44" t="s">
        <v>322</v>
      </c>
      <c r="Q6" s="45" t="s">
        <v>323</v>
      </c>
      <c r="R6" s="45" t="s">
        <v>324</v>
      </c>
      <c r="S6" s="41" t="s">
        <v>325</v>
      </c>
      <c r="T6" s="43" t="s">
        <v>326</v>
      </c>
    </row>
    <row r="7" spans="2:20">
      <c r="B7" s="351" t="s">
        <v>327</v>
      </c>
      <c r="C7" s="353">
        <v>0</v>
      </c>
      <c r="D7" s="50" t="s">
        <v>328</v>
      </c>
      <c r="E7" s="45"/>
      <c r="F7" s="45"/>
      <c r="G7" s="41"/>
      <c r="H7" s="44"/>
      <c r="I7" s="45"/>
      <c r="J7" s="45"/>
      <c r="K7" s="41"/>
      <c r="L7" s="44"/>
      <c r="M7" s="45"/>
      <c r="N7" s="45"/>
      <c r="O7" s="41"/>
      <c r="P7" s="44"/>
      <c r="Q7" s="45"/>
      <c r="R7" s="45"/>
      <c r="S7" s="41"/>
    </row>
    <row r="8" spans="2:20" ht="15" thickBot="1">
      <c r="B8" s="352"/>
      <c r="C8" s="354"/>
      <c r="D8" s="51" t="s">
        <v>167</v>
      </c>
      <c r="E8" s="49"/>
      <c r="F8" s="49"/>
      <c r="G8" s="33"/>
      <c r="H8" s="48"/>
      <c r="I8" s="49"/>
      <c r="J8" s="49"/>
      <c r="K8" s="33"/>
      <c r="L8" s="48"/>
      <c r="M8" s="49"/>
      <c r="N8" s="49"/>
      <c r="O8" s="33"/>
      <c r="P8" s="48"/>
      <c r="Q8" s="49"/>
      <c r="R8" s="49"/>
      <c r="S8" s="33"/>
    </row>
    <row r="9" spans="2:20">
      <c r="B9" s="351" t="s">
        <v>327</v>
      </c>
      <c r="C9" s="353">
        <v>1</v>
      </c>
      <c r="D9" s="50" t="s">
        <v>329</v>
      </c>
      <c r="E9" s="45"/>
      <c r="F9" s="45"/>
      <c r="G9" s="41"/>
      <c r="H9" s="44"/>
      <c r="I9" s="45"/>
      <c r="J9" s="45"/>
      <c r="K9" s="41"/>
      <c r="L9" s="44"/>
      <c r="M9" s="45"/>
      <c r="N9" s="45"/>
      <c r="O9" s="41"/>
      <c r="P9" s="44"/>
      <c r="Q9" s="45"/>
      <c r="R9" s="45"/>
      <c r="S9" s="41"/>
    </row>
    <row r="10" spans="2:20" ht="15" thickBot="1">
      <c r="B10" s="352"/>
      <c r="C10" s="354">
        <v>1</v>
      </c>
      <c r="D10" s="51" t="s">
        <v>160</v>
      </c>
      <c r="E10" s="49"/>
      <c r="F10" s="49"/>
      <c r="G10" s="33"/>
      <c r="H10" s="48"/>
      <c r="I10" s="49"/>
      <c r="J10" s="49"/>
      <c r="K10" s="33"/>
      <c r="L10" s="48"/>
      <c r="M10" s="49"/>
      <c r="N10" s="49"/>
      <c r="O10" s="33"/>
      <c r="P10" s="48"/>
      <c r="Q10" s="49"/>
      <c r="R10" s="49"/>
      <c r="S10" s="33"/>
    </row>
    <row r="11" spans="2:20">
      <c r="B11" s="351" t="s">
        <v>327</v>
      </c>
      <c r="C11" s="353">
        <v>2</v>
      </c>
      <c r="D11" s="50" t="s">
        <v>330</v>
      </c>
      <c r="E11" s="45"/>
      <c r="F11" s="45"/>
      <c r="G11" s="41"/>
      <c r="H11" s="44"/>
      <c r="I11" s="45"/>
      <c r="J11" s="45"/>
      <c r="K11" s="41"/>
      <c r="L11" s="44"/>
      <c r="M11" s="45"/>
      <c r="N11" s="45"/>
      <c r="O11" s="41"/>
      <c r="P11" s="44"/>
      <c r="Q11" s="45"/>
      <c r="R11" s="45"/>
      <c r="S11" s="41"/>
    </row>
    <row r="12" spans="2:20" ht="15" thickBot="1">
      <c r="B12" s="352"/>
      <c r="C12" s="354">
        <v>2</v>
      </c>
      <c r="D12" s="51" t="s">
        <v>331</v>
      </c>
      <c r="E12" s="49"/>
      <c r="F12" s="49"/>
      <c r="G12" s="33"/>
      <c r="H12" s="48"/>
      <c r="I12" s="49"/>
      <c r="J12" s="49"/>
      <c r="K12" s="33"/>
      <c r="L12" s="48"/>
      <c r="M12" s="49"/>
      <c r="N12" s="49"/>
      <c r="O12" s="33"/>
      <c r="P12" s="48"/>
      <c r="Q12" s="49"/>
      <c r="R12" s="49"/>
      <c r="S12" s="33"/>
    </row>
    <row r="13" spans="2:20">
      <c r="B13" s="351" t="s">
        <v>327</v>
      </c>
      <c r="C13" s="353">
        <v>3</v>
      </c>
      <c r="D13" s="50" t="s">
        <v>332</v>
      </c>
      <c r="E13" s="45"/>
      <c r="F13" s="45"/>
      <c r="G13" s="41"/>
      <c r="H13" s="44"/>
      <c r="I13" s="45"/>
      <c r="J13" s="45"/>
      <c r="K13" s="41"/>
      <c r="L13" s="44"/>
      <c r="M13" s="45"/>
      <c r="N13" s="45"/>
      <c r="O13" s="41"/>
      <c r="P13" s="44"/>
      <c r="Q13" s="45"/>
      <c r="R13" s="45"/>
      <c r="S13" s="41"/>
    </row>
    <row r="14" spans="2:20" ht="15" thickBot="1">
      <c r="B14" s="352"/>
      <c r="C14" s="354">
        <v>3</v>
      </c>
      <c r="D14" s="51" t="s">
        <v>333</v>
      </c>
      <c r="E14" s="49"/>
      <c r="F14" s="49"/>
      <c r="G14" s="33"/>
      <c r="H14" s="48"/>
      <c r="I14" s="49"/>
      <c r="J14" s="49"/>
      <c r="K14" s="33"/>
      <c r="L14" s="48"/>
      <c r="M14" s="49"/>
      <c r="N14" s="49"/>
      <c r="O14" s="33"/>
      <c r="P14" s="48"/>
      <c r="Q14" s="49"/>
      <c r="R14" s="49"/>
      <c r="S14" s="33"/>
    </row>
    <row r="15" spans="2:20">
      <c r="B15" s="351" t="s">
        <v>327</v>
      </c>
      <c r="C15" s="353">
        <v>4</v>
      </c>
      <c r="D15" s="50" t="s">
        <v>334</v>
      </c>
      <c r="E15" s="45"/>
      <c r="F15" s="45"/>
      <c r="G15" s="41"/>
      <c r="H15" s="44"/>
      <c r="I15" s="45"/>
      <c r="J15" s="45"/>
      <c r="K15" s="41"/>
      <c r="L15" s="44"/>
      <c r="M15" s="45"/>
      <c r="N15" s="45"/>
      <c r="O15" s="41"/>
      <c r="P15" s="44"/>
      <c r="Q15" s="45"/>
      <c r="R15" s="45"/>
      <c r="S15" s="41"/>
    </row>
    <row r="16" spans="2:20" ht="15" thickBot="1">
      <c r="B16" s="352"/>
      <c r="C16" s="354">
        <v>4</v>
      </c>
      <c r="D16" s="51" t="s">
        <v>335</v>
      </c>
      <c r="E16" s="49"/>
      <c r="F16" s="49"/>
      <c r="G16" s="33"/>
      <c r="H16" s="48"/>
      <c r="I16" s="49"/>
      <c r="J16" s="49"/>
      <c r="K16" s="33"/>
      <c r="L16" s="48"/>
      <c r="M16" s="49"/>
      <c r="N16" s="49"/>
      <c r="O16" s="33"/>
      <c r="P16" s="48"/>
      <c r="Q16" s="49"/>
      <c r="R16" s="49"/>
      <c r="S16" s="33"/>
    </row>
    <row r="17" spans="2:19">
      <c r="B17" s="351" t="s">
        <v>327</v>
      </c>
      <c r="C17" s="353">
        <v>5</v>
      </c>
      <c r="D17" s="50" t="s">
        <v>336</v>
      </c>
      <c r="E17" s="45"/>
      <c r="F17" s="45"/>
      <c r="G17" s="41"/>
      <c r="H17" s="44"/>
      <c r="I17" s="45"/>
      <c r="J17" s="45"/>
      <c r="K17" s="41"/>
      <c r="L17" s="44"/>
      <c r="M17" s="45"/>
      <c r="N17" s="45"/>
      <c r="O17" s="41"/>
      <c r="P17" s="44"/>
      <c r="Q17" s="45"/>
      <c r="R17" s="45"/>
      <c r="S17" s="41"/>
    </row>
    <row r="18" spans="2:19" ht="15" thickBot="1">
      <c r="B18" s="352"/>
      <c r="C18" s="354">
        <v>5</v>
      </c>
      <c r="D18" s="51" t="s">
        <v>337</v>
      </c>
      <c r="E18" s="49"/>
      <c r="F18" s="49"/>
      <c r="G18" s="33"/>
      <c r="H18" s="48"/>
      <c r="I18" s="49"/>
      <c r="J18" s="49"/>
      <c r="K18" s="33"/>
      <c r="L18" s="48"/>
      <c r="M18" s="49"/>
      <c r="N18" s="49"/>
      <c r="O18" s="33"/>
      <c r="P18" s="48"/>
      <c r="Q18" s="49"/>
      <c r="R18" s="49"/>
      <c r="S18" s="33"/>
    </row>
    <row r="19" spans="2:19">
      <c r="B19" s="351" t="s">
        <v>327</v>
      </c>
      <c r="C19" s="353">
        <v>6</v>
      </c>
      <c r="D19" s="50" t="s">
        <v>338</v>
      </c>
      <c r="E19" s="45"/>
      <c r="F19" s="45"/>
      <c r="G19" s="41"/>
      <c r="H19" s="44"/>
      <c r="I19" s="45"/>
      <c r="J19" s="45"/>
      <c r="K19" s="41"/>
      <c r="L19" s="44"/>
      <c r="M19" s="45"/>
      <c r="N19" s="45"/>
      <c r="O19" s="41"/>
      <c r="P19" s="44"/>
      <c r="Q19" s="45"/>
      <c r="R19" s="45"/>
      <c r="S19" s="41"/>
    </row>
    <row r="20" spans="2:19" ht="15" thickBot="1">
      <c r="B20" s="352"/>
      <c r="C20" s="354">
        <v>6</v>
      </c>
      <c r="D20" s="51" t="s">
        <v>339</v>
      </c>
      <c r="E20" s="49"/>
      <c r="F20" s="49"/>
      <c r="G20" s="33"/>
      <c r="H20" s="48"/>
      <c r="I20" s="49"/>
      <c r="J20" s="49"/>
      <c r="K20" s="33"/>
      <c r="L20" s="48"/>
      <c r="M20" s="49"/>
      <c r="N20" s="49"/>
      <c r="O20" s="33"/>
      <c r="P20" s="48"/>
      <c r="Q20" s="49"/>
      <c r="R20" s="49"/>
      <c r="S20" s="33"/>
    </row>
    <row r="21" spans="2:19">
      <c r="B21" s="351" t="s">
        <v>327</v>
      </c>
      <c r="C21" s="353">
        <v>7</v>
      </c>
      <c r="D21" s="50" t="s">
        <v>340</v>
      </c>
      <c r="E21" s="45"/>
      <c r="F21" s="45"/>
      <c r="G21" s="41"/>
      <c r="H21" s="44"/>
      <c r="I21" s="45"/>
      <c r="J21" s="45"/>
      <c r="K21" s="41"/>
      <c r="L21" s="44"/>
      <c r="M21" s="45"/>
      <c r="N21" s="45"/>
      <c r="O21" s="41"/>
      <c r="P21" s="44"/>
      <c r="Q21" s="45"/>
      <c r="R21" s="45"/>
      <c r="S21" s="41"/>
    </row>
    <row r="22" spans="2:19" ht="15" thickBot="1">
      <c r="B22" s="352"/>
      <c r="C22" s="354">
        <v>7</v>
      </c>
      <c r="D22" s="51" t="s">
        <v>341</v>
      </c>
      <c r="E22" s="49"/>
      <c r="F22" s="49"/>
      <c r="G22" s="33"/>
      <c r="H22" s="48"/>
      <c r="I22" s="49"/>
      <c r="J22" s="49"/>
      <c r="K22" s="33"/>
      <c r="L22" s="48"/>
      <c r="M22" s="49"/>
      <c r="N22" s="49"/>
      <c r="O22" s="33"/>
      <c r="P22" s="48"/>
      <c r="Q22" s="49"/>
      <c r="R22" s="49"/>
      <c r="S22" s="33"/>
    </row>
    <row r="23" spans="2:19">
      <c r="B23" s="351" t="s">
        <v>327</v>
      </c>
      <c r="C23" s="353">
        <v>8</v>
      </c>
      <c r="D23" s="50" t="s">
        <v>328</v>
      </c>
      <c r="E23" s="45"/>
      <c r="F23" s="45"/>
      <c r="G23" s="41"/>
      <c r="H23" s="44"/>
      <c r="I23" s="45"/>
      <c r="J23" s="45"/>
      <c r="K23" s="41"/>
      <c r="L23" s="44"/>
      <c r="M23" s="45"/>
      <c r="N23" s="45"/>
      <c r="O23" s="41"/>
      <c r="P23" s="44"/>
      <c r="Q23" s="45"/>
      <c r="R23" s="45"/>
      <c r="S23" s="41"/>
    </row>
    <row r="24" spans="2:19" ht="15" thickBot="1">
      <c r="B24" s="352"/>
      <c r="C24" s="354">
        <v>8</v>
      </c>
      <c r="D24" s="51" t="s">
        <v>167</v>
      </c>
      <c r="E24" s="49"/>
      <c r="F24" s="49"/>
      <c r="G24" s="33"/>
      <c r="H24" s="48"/>
      <c r="I24" s="49"/>
      <c r="J24" s="49"/>
      <c r="K24" s="33"/>
      <c r="L24" s="48"/>
      <c r="M24" s="49"/>
      <c r="N24" s="49"/>
      <c r="O24" s="33"/>
      <c r="P24" s="48"/>
      <c r="Q24" s="49"/>
      <c r="R24" s="49"/>
      <c r="S24" s="33"/>
    </row>
    <row r="25" spans="2:19">
      <c r="B25" s="351" t="s">
        <v>327</v>
      </c>
      <c r="C25" s="353">
        <v>9</v>
      </c>
      <c r="D25" s="50" t="s">
        <v>329</v>
      </c>
      <c r="E25" s="45"/>
      <c r="F25" s="45"/>
      <c r="G25" s="41"/>
      <c r="H25" s="44"/>
      <c r="I25" s="45"/>
      <c r="J25" s="45"/>
      <c r="K25" s="41"/>
      <c r="L25" s="44"/>
      <c r="M25" s="45"/>
      <c r="N25" s="45"/>
      <c r="O25" s="41"/>
      <c r="P25" s="44"/>
      <c r="Q25" s="45"/>
      <c r="R25" s="45"/>
      <c r="S25" s="41"/>
    </row>
    <row r="26" spans="2:19" ht="15" thickBot="1">
      <c r="B26" s="352"/>
      <c r="C26" s="354">
        <v>9</v>
      </c>
      <c r="D26" s="51" t="s">
        <v>160</v>
      </c>
      <c r="E26" s="49"/>
      <c r="F26" s="49"/>
      <c r="G26" s="33"/>
      <c r="H26" s="48"/>
      <c r="I26" s="49"/>
      <c r="J26" s="49"/>
      <c r="K26" s="33"/>
      <c r="L26" s="48"/>
      <c r="M26" s="49"/>
      <c r="N26" s="49"/>
      <c r="O26" s="33"/>
      <c r="P26" s="48"/>
      <c r="Q26" s="49"/>
      <c r="R26" s="49"/>
      <c r="S26" s="33"/>
    </row>
    <row r="27" spans="2:19">
      <c r="B27" s="351" t="s">
        <v>327</v>
      </c>
      <c r="C27" s="353" t="s">
        <v>320</v>
      </c>
      <c r="D27" s="50" t="s">
        <v>330</v>
      </c>
      <c r="E27" s="45"/>
      <c r="F27" s="45"/>
      <c r="G27" s="41"/>
      <c r="H27" s="44"/>
      <c r="I27" s="45"/>
      <c r="J27" s="45"/>
      <c r="K27" s="41"/>
      <c r="L27" s="44"/>
      <c r="M27" s="45"/>
      <c r="N27" s="45"/>
      <c r="O27" s="41"/>
      <c r="P27" s="44"/>
      <c r="Q27" s="45"/>
      <c r="R27" s="45"/>
      <c r="S27" s="41"/>
    </row>
    <row r="28" spans="2:19" ht="15" thickBot="1">
      <c r="B28" s="352"/>
      <c r="C28" s="354" t="s">
        <v>320</v>
      </c>
      <c r="D28" s="51" t="s">
        <v>331</v>
      </c>
      <c r="E28" s="49"/>
      <c r="F28" s="49"/>
      <c r="G28" s="33"/>
      <c r="H28" s="48"/>
      <c r="I28" s="49"/>
      <c r="J28" s="49"/>
      <c r="K28" s="33"/>
      <c r="L28" s="48"/>
      <c r="M28" s="49"/>
      <c r="N28" s="49"/>
      <c r="O28" s="33"/>
      <c r="P28" s="48"/>
      <c r="Q28" s="49"/>
      <c r="R28" s="49"/>
      <c r="S28" s="33"/>
    </row>
    <row r="29" spans="2:19">
      <c r="B29" s="351" t="s">
        <v>327</v>
      </c>
      <c r="C29" s="353" t="s">
        <v>321</v>
      </c>
      <c r="D29" s="50" t="s">
        <v>332</v>
      </c>
      <c r="E29" s="45"/>
      <c r="F29" s="45"/>
      <c r="G29" s="41"/>
      <c r="H29" s="44"/>
      <c r="I29" s="45"/>
      <c r="J29" s="45"/>
      <c r="K29" s="41"/>
      <c r="L29" s="44"/>
      <c r="M29" s="45"/>
      <c r="N29" s="45"/>
      <c r="O29" s="41"/>
      <c r="P29" s="44"/>
      <c r="Q29" s="45"/>
      <c r="R29" s="45"/>
      <c r="S29" s="41"/>
    </row>
    <row r="30" spans="2:19" ht="15" thickBot="1">
      <c r="B30" s="352"/>
      <c r="C30" s="354" t="s">
        <v>321</v>
      </c>
      <c r="D30" s="51" t="s">
        <v>333</v>
      </c>
      <c r="E30" s="49"/>
      <c r="F30" s="49"/>
      <c r="G30" s="33"/>
      <c r="H30" s="48"/>
      <c r="I30" s="49"/>
      <c r="J30" s="49"/>
      <c r="K30" s="33"/>
      <c r="L30" s="48"/>
      <c r="M30" s="49"/>
      <c r="N30" s="49"/>
      <c r="O30" s="33"/>
      <c r="P30" s="48"/>
      <c r="Q30" s="49"/>
      <c r="R30" s="49"/>
      <c r="S30" s="33"/>
    </row>
    <row r="31" spans="2:19">
      <c r="B31" s="351" t="s">
        <v>327</v>
      </c>
      <c r="C31" s="353" t="s">
        <v>322</v>
      </c>
      <c r="D31" s="50" t="s">
        <v>334</v>
      </c>
      <c r="E31" s="45"/>
      <c r="F31" s="45"/>
      <c r="G31" s="41"/>
      <c r="H31" s="44"/>
      <c r="I31" s="45"/>
      <c r="J31" s="45"/>
      <c r="K31" s="41"/>
      <c r="L31" s="44"/>
      <c r="M31" s="45"/>
      <c r="N31" s="45"/>
      <c r="O31" s="41"/>
      <c r="P31" s="44"/>
      <c r="Q31" s="45"/>
      <c r="R31" s="45"/>
      <c r="S31" s="41"/>
    </row>
    <row r="32" spans="2:19" ht="15" thickBot="1">
      <c r="B32" s="352"/>
      <c r="C32" s="354" t="s">
        <v>322</v>
      </c>
      <c r="D32" s="51" t="s">
        <v>335</v>
      </c>
      <c r="E32" s="49"/>
      <c r="F32" s="49"/>
      <c r="G32" s="33"/>
      <c r="H32" s="48"/>
      <c r="I32" s="49"/>
      <c r="J32" s="49"/>
      <c r="K32" s="33"/>
      <c r="L32" s="48"/>
      <c r="M32" s="49"/>
      <c r="N32" s="49"/>
      <c r="O32" s="33"/>
      <c r="P32" s="48"/>
      <c r="Q32" s="49"/>
      <c r="R32" s="49"/>
      <c r="S32" s="33"/>
    </row>
    <row r="33" spans="2:19">
      <c r="B33" s="351" t="s">
        <v>327</v>
      </c>
      <c r="C33" s="353" t="s">
        <v>323</v>
      </c>
      <c r="D33" s="50" t="s">
        <v>336</v>
      </c>
      <c r="E33" s="45"/>
      <c r="F33" s="45"/>
      <c r="G33" s="41"/>
      <c r="H33" s="44"/>
      <c r="I33" s="45"/>
      <c r="J33" s="45"/>
      <c r="K33" s="41"/>
      <c r="L33" s="44"/>
      <c r="M33" s="45"/>
      <c r="N33" s="45"/>
      <c r="O33" s="41"/>
      <c r="P33" s="44"/>
      <c r="Q33" s="45"/>
      <c r="R33" s="45"/>
      <c r="S33" s="41"/>
    </row>
    <row r="34" spans="2:19" ht="15" thickBot="1">
      <c r="B34" s="352"/>
      <c r="C34" s="354" t="s">
        <v>323</v>
      </c>
      <c r="D34" s="51" t="s">
        <v>337</v>
      </c>
      <c r="E34" s="49"/>
      <c r="F34" s="49"/>
      <c r="G34" s="33"/>
      <c r="H34" s="48"/>
      <c r="I34" s="49"/>
      <c r="J34" s="49"/>
      <c r="K34" s="33"/>
      <c r="L34" s="48"/>
      <c r="M34" s="49"/>
      <c r="N34" s="49"/>
      <c r="O34" s="33"/>
      <c r="P34" s="48"/>
      <c r="Q34" s="49"/>
      <c r="R34" s="49"/>
      <c r="S34" s="33"/>
    </row>
    <row r="35" spans="2:19">
      <c r="B35" s="351" t="s">
        <v>327</v>
      </c>
      <c r="C35" s="353" t="s">
        <v>324</v>
      </c>
      <c r="D35" s="50" t="s">
        <v>338</v>
      </c>
      <c r="E35" s="45"/>
      <c r="F35" s="45"/>
      <c r="G35" s="41"/>
      <c r="H35" s="44"/>
      <c r="I35" s="45"/>
      <c r="J35" s="45"/>
      <c r="K35" s="41"/>
      <c r="L35" s="44"/>
      <c r="M35" s="45"/>
      <c r="N35" s="45"/>
      <c r="O35" s="41"/>
      <c r="P35" s="44"/>
      <c r="Q35" s="45"/>
      <c r="R35" s="45"/>
      <c r="S35" s="41"/>
    </row>
    <row r="36" spans="2:19" ht="15" thickBot="1">
      <c r="B36" s="352"/>
      <c r="C36" s="354" t="s">
        <v>324</v>
      </c>
      <c r="D36" s="51" t="s">
        <v>339</v>
      </c>
      <c r="E36" s="49"/>
      <c r="F36" s="49"/>
      <c r="G36" s="33"/>
      <c r="H36" s="48"/>
      <c r="I36" s="49"/>
      <c r="J36" s="49"/>
      <c r="K36" s="33"/>
      <c r="L36" s="48"/>
      <c r="M36" s="49"/>
      <c r="N36" s="49"/>
      <c r="O36" s="33"/>
      <c r="P36" s="48"/>
      <c r="Q36" s="49"/>
      <c r="R36" s="49"/>
      <c r="S36" s="33"/>
    </row>
    <row r="37" spans="2:19">
      <c r="B37" s="351" t="s">
        <v>327</v>
      </c>
      <c r="C37" s="353" t="s">
        <v>325</v>
      </c>
      <c r="D37" s="50" t="s">
        <v>340</v>
      </c>
      <c r="G37" s="47"/>
      <c r="H37" s="46"/>
      <c r="K37" s="47"/>
      <c r="L37" s="46"/>
      <c r="O37" s="47"/>
      <c r="P37" s="46"/>
      <c r="S37" s="47"/>
    </row>
    <row r="38" spans="2:19" ht="15" thickBot="1">
      <c r="B38" s="352"/>
      <c r="C38" s="354" t="s">
        <v>325</v>
      </c>
      <c r="D38" s="51" t="s">
        <v>341</v>
      </c>
      <c r="E38" s="49"/>
      <c r="F38" s="49"/>
      <c r="G38" s="33"/>
      <c r="H38" s="48"/>
      <c r="I38" s="49"/>
      <c r="J38" s="49"/>
      <c r="K38" s="33"/>
      <c r="L38" s="48"/>
      <c r="M38" s="49"/>
      <c r="N38" s="49"/>
      <c r="O38" s="33"/>
      <c r="P38" s="48"/>
      <c r="Q38" s="49"/>
      <c r="R38" s="49"/>
      <c r="S38" s="33"/>
    </row>
  </sheetData>
  <mergeCells count="36">
    <mergeCell ref="B7:B8"/>
    <mergeCell ref="D5:G5"/>
    <mergeCell ref="H5:K5"/>
    <mergeCell ref="L5:O5"/>
    <mergeCell ref="P5:S5"/>
    <mergeCell ref="C7:C8"/>
    <mergeCell ref="B9:B10"/>
    <mergeCell ref="C9:C10"/>
    <mergeCell ref="B11:B12"/>
    <mergeCell ref="C11:C12"/>
    <mergeCell ref="B13:B14"/>
    <mergeCell ref="C13:C14"/>
    <mergeCell ref="B15:B16"/>
    <mergeCell ref="C15:C16"/>
    <mergeCell ref="B17:B18"/>
    <mergeCell ref="C17:C18"/>
    <mergeCell ref="B19:B20"/>
    <mergeCell ref="C19:C20"/>
    <mergeCell ref="B21:B22"/>
    <mergeCell ref="C21:C22"/>
    <mergeCell ref="B23:B24"/>
    <mergeCell ref="C23:C24"/>
    <mergeCell ref="B25:B26"/>
    <mergeCell ref="C25:C26"/>
    <mergeCell ref="B27:B28"/>
    <mergeCell ref="C27:C28"/>
    <mergeCell ref="B29:B30"/>
    <mergeCell ref="C29:C30"/>
    <mergeCell ref="B31:B32"/>
    <mergeCell ref="C31:C32"/>
    <mergeCell ref="B33:B34"/>
    <mergeCell ref="C33:C34"/>
    <mergeCell ref="B35:B36"/>
    <mergeCell ref="C35:C36"/>
    <mergeCell ref="B37:B38"/>
    <mergeCell ref="C37:C38"/>
  </mergeCells>
  <phoneticPr fontId="3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c394daa5-e5a4-4148-bef3-deffd9e83ce7">
      <UserInfo>
        <DisplayName>Pei-Hsin Yang</DisplayName>
        <AccountId>101</AccountId>
        <AccountType/>
      </UserInfo>
      <UserInfo>
        <DisplayName>Jyothsna Nagaraja</DisplayName>
        <AccountId>75</AccountId>
        <AccountType/>
      </UserInfo>
      <UserInfo>
        <DisplayName>Brett Shih</DisplayName>
        <AccountId>27</AccountId>
        <AccountType/>
      </UserInfo>
    </SharedWithUsers>
    <_Flow_SignoffStatus xmlns="ebf8af23-10d6-4126-8f98-75ad5de3f58a" xsi:nil="true"/>
    <Comment xmlns="ebf8af23-10d6-4126-8f98-75ad5de3f58a" xsi:nil="true"/>
    <TaxCatchAll xmlns="c394daa5-e5a4-4148-bef3-deffd9e83ce7" xsi:nil="true"/>
    <lcf76f155ced4ddcb4097134ff3c332f xmlns="ebf8af23-10d6-4126-8f98-75ad5de3f58a">
      <Terms xmlns="http://schemas.microsoft.com/office/infopath/2007/PartnerControls"/>
    </lcf76f155ced4ddcb4097134ff3c332f>
    <Date xmlns="ebf8af23-10d6-4126-8f98-75ad5de3f58a" xsi:nil="true"/>
    <Date_x002d_Time xmlns="ebf8af23-10d6-4126-8f98-75ad5de3f58a" xsi:nil="true"/>
    <When xmlns="ebf8af23-10d6-4126-8f98-75ad5de3f58a"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DA2FA54FEA96D46ABF9CB12404104A1" ma:contentTypeVersion="22" ma:contentTypeDescription="Create a new document." ma:contentTypeScope="" ma:versionID="4d7560c1363430f7863653fb94339cd1">
  <xsd:schema xmlns:xsd="http://www.w3.org/2001/XMLSchema" xmlns:xs="http://www.w3.org/2001/XMLSchema" xmlns:p="http://schemas.microsoft.com/office/2006/metadata/properties" xmlns:ns2="ebf8af23-10d6-4126-8f98-75ad5de3f58a" xmlns:ns3="c394daa5-e5a4-4148-bef3-deffd9e83ce7" targetNamespace="http://schemas.microsoft.com/office/2006/metadata/properties" ma:root="true" ma:fieldsID="3f3f0703eec0dbac682dec307456c173" ns2:_="" ns3:_="">
    <xsd:import namespace="ebf8af23-10d6-4126-8f98-75ad5de3f58a"/>
    <xsd:import namespace="c394daa5-e5a4-4148-bef3-deffd9e83ce7"/>
    <xsd:element name="properties">
      <xsd:complexType>
        <xsd:sequence>
          <xsd:element name="documentManagement">
            <xsd:complexType>
              <xsd:all>
                <xsd:element ref="ns2:_Flow_SignoffStatus" minOccurs="0"/>
                <xsd:element ref="ns2:Comment" minOccurs="0"/>
                <xsd:element ref="ns3:SharedWithUsers" minOccurs="0"/>
                <xsd:element ref="ns3:SharedWithDetails"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Date" minOccurs="0"/>
                <xsd:element ref="ns2:Date_x002d_Time" minOccurs="0"/>
                <xsd:element ref="ns2:Wh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f8af23-10d6-4126-8f98-75ad5de3f58a" elementFormDefault="qualified">
    <xsd:import namespace="http://schemas.microsoft.com/office/2006/documentManagement/types"/>
    <xsd:import namespace="http://schemas.microsoft.com/office/infopath/2007/PartnerControls"/>
    <xsd:element name="_Flow_SignoffStatus" ma:index="4" nillable="true" ma:displayName="Sign-off status" ma:internalName="Sign_x002d_off_x0020_status" ma:readOnly="false">
      <xsd:simpleType>
        <xsd:restriction base="dms:Text"/>
      </xsd:simpleType>
    </xsd:element>
    <xsd:element name="Comment" ma:index="5" nillable="true" ma:displayName="Comment" ma:internalName="Comment"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8694985-6511-4e14-ba03-9b5c00876857"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Date" ma:index="25" nillable="true" ma:displayName="Date" ma:format="DateOnly" ma:internalName="Date">
      <xsd:simpleType>
        <xsd:restriction base="dms:DateTime"/>
      </xsd:simpleType>
    </xsd:element>
    <xsd:element name="Date_x002d_Time" ma:index="26" nillable="true" ma:displayName="Date-Time" ma:format="DateTime" ma:internalName="Date_x002d_Time">
      <xsd:simpleType>
        <xsd:restriction base="dms:DateTime"/>
      </xsd:simpleType>
    </xsd:element>
    <xsd:element name="When" ma:index="27" nillable="true" ma:displayName="When" ma:format="DateTime" ma:internalName="When">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c394daa5-e5a4-4148-bef3-deffd9e83ce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d9a36db-78ac-4ce7-84a5-e95fcad1009f}" ma:internalName="TaxCatchAll" ma:showField="CatchAllData" ma:web="c394daa5-e5a4-4148-bef3-deffd9e83c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73EAD3B-0CB5-4ECD-AC89-1198ABD3B393}">
  <ds:schemaRefs>
    <ds:schemaRef ds:uri="http://schemas.microsoft.com/office/2006/metadata/longProperties"/>
  </ds:schemaRefs>
</ds:datastoreItem>
</file>

<file path=customXml/itemProps2.xml><?xml version="1.0" encoding="utf-8"?>
<ds:datastoreItem xmlns:ds="http://schemas.openxmlformats.org/officeDocument/2006/customXml" ds:itemID="{CC0D3719-0A20-4D97-B4BA-471132AC1A18}">
  <ds:schemaRefs>
    <ds:schemaRef ds:uri="http://schemas.microsoft.com/sharepoint/v3/contenttype/forms"/>
  </ds:schemaRefs>
</ds:datastoreItem>
</file>

<file path=customXml/itemProps3.xml><?xml version="1.0" encoding="utf-8"?>
<ds:datastoreItem xmlns:ds="http://schemas.openxmlformats.org/officeDocument/2006/customXml" ds:itemID="{2CF07237-3C75-4B0B-94EE-C736BA20DA96}">
  <ds:schemaRefs>
    <ds:schemaRef ds:uri="http://schemas.microsoft.com/office/2006/metadata/properties"/>
    <ds:schemaRef ds:uri="http://schemas.microsoft.com/office/infopath/2007/PartnerControls"/>
    <ds:schemaRef ds:uri="c394daa5-e5a4-4148-bef3-deffd9e83ce7"/>
    <ds:schemaRef ds:uri="ebf8af23-10d6-4126-8f98-75ad5de3f58a"/>
  </ds:schemaRefs>
</ds:datastoreItem>
</file>

<file path=customXml/itemProps4.xml><?xml version="1.0" encoding="utf-8"?>
<ds:datastoreItem xmlns:ds="http://schemas.openxmlformats.org/officeDocument/2006/customXml" ds:itemID="{46D833FC-3F52-4818-943C-C7300BB925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f8af23-10d6-4126-8f98-75ad5de3f58a"/>
    <ds:schemaRef ds:uri="c394daa5-e5a4-4148-bef3-deffd9e83c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Mapping</vt:lpstr>
      <vt:lpstr>MTP Map</vt:lpstr>
      <vt:lpstr>Tracking Data</vt:lpstr>
      <vt:lpstr>ACBIN Data</vt:lpstr>
      <vt:lpstr>Mapping Old</vt:lpstr>
      <vt:lpstr>Classified as UnClassified</vt:lpstr>
      <vt:lpstr>Sheet1</vt:lpstr>
      <vt:lpstr>Mapping!Print_Area</vt:lpstr>
    </vt:vector>
  </TitlesOfParts>
  <Manager/>
  <Company>indie Semiconductor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Brett Shih</dc:creator>
  <cp:keywords/>
  <dc:description/>
  <cp:lastModifiedBy>Gerard Pasman</cp:lastModifiedBy>
  <cp:revision/>
  <dcterms:created xsi:type="dcterms:W3CDTF">2010-10-19T23:59:55Z</dcterms:created>
  <dcterms:modified xsi:type="dcterms:W3CDTF">2025-01-18T00:03:02Z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ments">
    <vt:lpwstr>Added the new security scheme for DPRX Termination resistor calibrated value (locations 0x1C, 0x1D]</vt:lpwstr>
  </property>
  <property fmtid="{D5CDD505-2E9C-101B-9397-08002B2CF9AE}" pid="3" name="ContentType">
    <vt:lpwstr>Document</vt:lpwstr>
  </property>
  <property fmtid="{D5CDD505-2E9C-101B-9397-08002B2CF9AE}" pid="4" name="TaxCatchAll">
    <vt:lpwstr/>
  </property>
  <property fmtid="{D5CDD505-2E9C-101B-9397-08002B2CF9AE}" pid="5" name="Sign-off status">
    <vt:lpwstr/>
  </property>
  <property fmtid="{D5CDD505-2E9C-101B-9397-08002B2CF9AE}" pid="6" name="Comment">
    <vt:lpwstr/>
  </property>
  <property fmtid="{D5CDD505-2E9C-101B-9397-08002B2CF9AE}" pid="7" name="lcf76f155ced4ddcb4097134ff3c332f">
    <vt:lpwstr/>
  </property>
  <property fmtid="{D5CDD505-2E9C-101B-9397-08002B2CF9AE}" pid="8" name="display_urn:schemas-microsoft-com:office:office#SharedWithUsers">
    <vt:lpwstr>Pei-Hsin Yang;Jyothsna Nagaraja;Brett Shih</vt:lpwstr>
  </property>
  <property fmtid="{D5CDD505-2E9C-101B-9397-08002B2CF9AE}" pid="9" name="SharedWithUsers">
    <vt:lpwstr>101;#Pei-Hsin Yang;#75;#Jyothsna Nagaraja;#27;#Brett Shih</vt:lpwstr>
  </property>
  <property fmtid="{D5CDD505-2E9C-101B-9397-08002B2CF9AE}" pid="10" name="ContentTypeId">
    <vt:lpwstr>0x0101005DA2FA54FEA96D46ABF9CB12404104A1</vt:lpwstr>
  </property>
  <property fmtid="{D5CDD505-2E9C-101B-9397-08002B2CF9AE}" pid="11" name="MediaServiceImageTags">
    <vt:lpwstr/>
  </property>
</Properties>
</file>